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aman\OneDrive\Desktop\"/>
    </mc:Choice>
  </mc:AlternateContent>
  <xr:revisionPtr revIDLastSave="0" documentId="13_ncr:1_{A972DADA-1791-4DAA-AF44-0FBFF7F20BD7}" xr6:coauthVersionLast="47" xr6:coauthVersionMax="47" xr10:uidLastSave="{00000000-0000-0000-0000-000000000000}"/>
  <bookViews>
    <workbookView xWindow="-108" yWindow="-108" windowWidth="23256" windowHeight="12576" activeTab="2" xr2:uid="{00000000-000D-0000-FFFF-FFFF00000000}"/>
  </bookViews>
  <sheets>
    <sheet name="Sheet2" sheetId="2" r:id="rId1"/>
    <sheet name="Sheet1" sheetId="1" r:id="rId2"/>
    <sheet name="Dashboard" sheetId="3" r:id="rId3"/>
  </sheets>
  <definedNames>
    <definedName name="Slicer_Energy_category">#N/A</definedName>
    <definedName name="Slicer_Family_Size">#N/A</definedName>
    <definedName name="Slicer_Household_ID">#N/A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1" l="1"/>
  <c r="N5" i="1"/>
  <c r="N6" i="1"/>
  <c r="N7" i="1"/>
  <c r="N3"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alcChain>
</file>

<file path=xl/sharedStrings.xml><?xml version="1.0" encoding="utf-8"?>
<sst xmlns="http://schemas.openxmlformats.org/spreadsheetml/2006/main" count="564" uniqueCount="289">
  <si>
    <t>Household_ID</t>
  </si>
  <si>
    <t>Family_Size</t>
  </si>
  <si>
    <t>Monthly_Income</t>
  </si>
  <si>
    <t>Electricity_Usage (kWh)</t>
  </si>
  <si>
    <t>Gas_Usage</t>
  </si>
  <si>
    <t>Appliances_Count</t>
  </si>
  <si>
    <t>Month</t>
  </si>
  <si>
    <t>H001</t>
  </si>
  <si>
    <t>Mar</t>
  </si>
  <si>
    <t>H002</t>
  </si>
  <si>
    <t>Feb</t>
  </si>
  <si>
    <t>H003</t>
  </si>
  <si>
    <t>H004</t>
  </si>
  <si>
    <t>Jun</t>
  </si>
  <si>
    <t>H005</t>
  </si>
  <si>
    <t>Dec</t>
  </si>
  <si>
    <t>H006</t>
  </si>
  <si>
    <t>Jan</t>
  </si>
  <si>
    <t>H007</t>
  </si>
  <si>
    <t>H008</t>
  </si>
  <si>
    <t>H009</t>
  </si>
  <si>
    <t>H010</t>
  </si>
  <si>
    <t>Apr</t>
  </si>
  <si>
    <t>H011</t>
  </si>
  <si>
    <t>H012</t>
  </si>
  <si>
    <t>Aug</t>
  </si>
  <si>
    <t>H013</t>
  </si>
  <si>
    <t>Jul</t>
  </si>
  <si>
    <t>H014</t>
  </si>
  <si>
    <t>H015</t>
  </si>
  <si>
    <t>H016</t>
  </si>
  <si>
    <t>Oct</t>
  </si>
  <si>
    <t>H017</t>
  </si>
  <si>
    <t>H018</t>
  </si>
  <si>
    <t>H019</t>
  </si>
  <si>
    <t>H020</t>
  </si>
  <si>
    <t>H021</t>
  </si>
  <si>
    <t>H022</t>
  </si>
  <si>
    <t>H023</t>
  </si>
  <si>
    <t>H024</t>
  </si>
  <si>
    <t>H025</t>
  </si>
  <si>
    <t>H026</t>
  </si>
  <si>
    <t>H027</t>
  </si>
  <si>
    <t>H028</t>
  </si>
  <si>
    <t>H029</t>
  </si>
  <si>
    <t>Sep</t>
  </si>
  <si>
    <t>H030</t>
  </si>
  <si>
    <t>H031</t>
  </si>
  <si>
    <t>H032</t>
  </si>
  <si>
    <t>H033</t>
  </si>
  <si>
    <t>H034</t>
  </si>
  <si>
    <t>Nov</t>
  </si>
  <si>
    <t>H035</t>
  </si>
  <si>
    <t>H036</t>
  </si>
  <si>
    <t>H037</t>
  </si>
  <si>
    <t>H038</t>
  </si>
  <si>
    <t>May</t>
  </si>
  <si>
    <t>H039</t>
  </si>
  <si>
    <t>H040</t>
  </si>
  <si>
    <t>H041</t>
  </si>
  <si>
    <t>H042</t>
  </si>
  <si>
    <t>H043</t>
  </si>
  <si>
    <t>H044</t>
  </si>
  <si>
    <t>H045</t>
  </si>
  <si>
    <t>H046</t>
  </si>
  <si>
    <t>H047</t>
  </si>
  <si>
    <t>H048</t>
  </si>
  <si>
    <t>H049</t>
  </si>
  <si>
    <t>H050</t>
  </si>
  <si>
    <t>H051</t>
  </si>
  <si>
    <t>H052</t>
  </si>
  <si>
    <t>H053</t>
  </si>
  <si>
    <t>H054</t>
  </si>
  <si>
    <t>H055</t>
  </si>
  <si>
    <t>H056</t>
  </si>
  <si>
    <t>H057</t>
  </si>
  <si>
    <t>H058</t>
  </si>
  <si>
    <t>H059</t>
  </si>
  <si>
    <t>H060</t>
  </si>
  <si>
    <t>H061</t>
  </si>
  <si>
    <t>H062</t>
  </si>
  <si>
    <t>H063</t>
  </si>
  <si>
    <t>H064</t>
  </si>
  <si>
    <t>H065</t>
  </si>
  <si>
    <t>H066</t>
  </si>
  <si>
    <t>H067</t>
  </si>
  <si>
    <t>H068</t>
  </si>
  <si>
    <t>H069</t>
  </si>
  <si>
    <t>H070</t>
  </si>
  <si>
    <t>H071</t>
  </si>
  <si>
    <t>H072</t>
  </si>
  <si>
    <t>H073</t>
  </si>
  <si>
    <t>H074</t>
  </si>
  <si>
    <t>H075</t>
  </si>
  <si>
    <t>H076</t>
  </si>
  <si>
    <t>H077</t>
  </si>
  <si>
    <t>H078</t>
  </si>
  <si>
    <t>H079</t>
  </si>
  <si>
    <t>H080</t>
  </si>
  <si>
    <t>H081</t>
  </si>
  <si>
    <t>H082</t>
  </si>
  <si>
    <t>H083</t>
  </si>
  <si>
    <t>H084</t>
  </si>
  <si>
    <t>H085</t>
  </si>
  <si>
    <t>H086</t>
  </si>
  <si>
    <t>H087</t>
  </si>
  <si>
    <t>H088</t>
  </si>
  <si>
    <t>H089</t>
  </si>
  <si>
    <t>H090</t>
  </si>
  <si>
    <t>H091</t>
  </si>
  <si>
    <t>H092</t>
  </si>
  <si>
    <t>H093</t>
  </si>
  <si>
    <t>H094</t>
  </si>
  <si>
    <t>H095</t>
  </si>
  <si>
    <t>H096</t>
  </si>
  <si>
    <t>H097</t>
  </si>
  <si>
    <t>H098</t>
  </si>
  <si>
    <t>H099</t>
  </si>
  <si>
    <t>H100</t>
  </si>
  <si>
    <t>H101</t>
  </si>
  <si>
    <t>H102</t>
  </si>
  <si>
    <t>H103</t>
  </si>
  <si>
    <t>H104</t>
  </si>
  <si>
    <t>H105</t>
  </si>
  <si>
    <t>H106</t>
  </si>
  <si>
    <t>H107</t>
  </si>
  <si>
    <t>H108</t>
  </si>
  <si>
    <t>H109</t>
  </si>
  <si>
    <t>H110</t>
  </si>
  <si>
    <t>H111</t>
  </si>
  <si>
    <t>H112</t>
  </si>
  <si>
    <t>H113</t>
  </si>
  <si>
    <t>H114</t>
  </si>
  <si>
    <t>H115</t>
  </si>
  <si>
    <t>H116</t>
  </si>
  <si>
    <t>H117</t>
  </si>
  <si>
    <t>H118</t>
  </si>
  <si>
    <t>H119</t>
  </si>
  <si>
    <t>H120</t>
  </si>
  <si>
    <t>H121</t>
  </si>
  <si>
    <t>H122</t>
  </si>
  <si>
    <t>H123</t>
  </si>
  <si>
    <t>H124</t>
  </si>
  <si>
    <t>H125</t>
  </si>
  <si>
    <t>H126</t>
  </si>
  <si>
    <t>H127</t>
  </si>
  <si>
    <t>H128</t>
  </si>
  <si>
    <t>H129</t>
  </si>
  <si>
    <t>H130</t>
  </si>
  <si>
    <t>H131</t>
  </si>
  <si>
    <t>H132</t>
  </si>
  <si>
    <t>H133</t>
  </si>
  <si>
    <t>H134</t>
  </si>
  <si>
    <t>H135</t>
  </si>
  <si>
    <t>H136</t>
  </si>
  <si>
    <t>H137</t>
  </si>
  <si>
    <t>H138</t>
  </si>
  <si>
    <t>H139</t>
  </si>
  <si>
    <t>H140</t>
  </si>
  <si>
    <t>H141</t>
  </si>
  <si>
    <t>H142</t>
  </si>
  <si>
    <t>H143</t>
  </si>
  <si>
    <t>H144</t>
  </si>
  <si>
    <t>H145</t>
  </si>
  <si>
    <t>H146</t>
  </si>
  <si>
    <t>H147</t>
  </si>
  <si>
    <t>H148</t>
  </si>
  <si>
    <t>H149</t>
  </si>
  <si>
    <t>H150</t>
  </si>
  <si>
    <t>H151</t>
  </si>
  <si>
    <t>H152</t>
  </si>
  <si>
    <t>H153</t>
  </si>
  <si>
    <t>H154</t>
  </si>
  <si>
    <t>H155</t>
  </si>
  <si>
    <t>H156</t>
  </si>
  <si>
    <t>H157</t>
  </si>
  <si>
    <t>H158</t>
  </si>
  <si>
    <t>H159</t>
  </si>
  <si>
    <t>H160</t>
  </si>
  <si>
    <t>H161</t>
  </si>
  <si>
    <t>H162</t>
  </si>
  <si>
    <t>H163</t>
  </si>
  <si>
    <t>H164</t>
  </si>
  <si>
    <t>H165</t>
  </si>
  <si>
    <t>H166</t>
  </si>
  <si>
    <t>H167</t>
  </si>
  <si>
    <t>H168</t>
  </si>
  <si>
    <t>H169</t>
  </si>
  <si>
    <t>H170</t>
  </si>
  <si>
    <t>H171</t>
  </si>
  <si>
    <t>H172</t>
  </si>
  <si>
    <t>H173</t>
  </si>
  <si>
    <t>H174</t>
  </si>
  <si>
    <t>H175</t>
  </si>
  <si>
    <t>H176</t>
  </si>
  <si>
    <t>H177</t>
  </si>
  <si>
    <t>H178</t>
  </si>
  <si>
    <t>H179</t>
  </si>
  <si>
    <t>H180</t>
  </si>
  <si>
    <t>H181</t>
  </si>
  <si>
    <t>H182</t>
  </si>
  <si>
    <t>H183</t>
  </si>
  <si>
    <t>H184</t>
  </si>
  <si>
    <t>H185</t>
  </si>
  <si>
    <t>H186</t>
  </si>
  <si>
    <t>H187</t>
  </si>
  <si>
    <t>H188</t>
  </si>
  <si>
    <t>H189</t>
  </si>
  <si>
    <t>H190</t>
  </si>
  <si>
    <t>H191</t>
  </si>
  <si>
    <t>H192</t>
  </si>
  <si>
    <t>H193</t>
  </si>
  <si>
    <t>H194</t>
  </si>
  <si>
    <t>H195</t>
  </si>
  <si>
    <t>H196</t>
  </si>
  <si>
    <t>H197</t>
  </si>
  <si>
    <t>H198</t>
  </si>
  <si>
    <t>H199</t>
  </si>
  <si>
    <t>H200</t>
  </si>
  <si>
    <t>H201</t>
  </si>
  <si>
    <t>H202</t>
  </si>
  <si>
    <t>H203</t>
  </si>
  <si>
    <t>H204</t>
  </si>
  <si>
    <t>H205</t>
  </si>
  <si>
    <t>H206</t>
  </si>
  <si>
    <t>H207</t>
  </si>
  <si>
    <t>H208</t>
  </si>
  <si>
    <t>H209</t>
  </si>
  <si>
    <t>H210</t>
  </si>
  <si>
    <t>H211</t>
  </si>
  <si>
    <t>H212</t>
  </si>
  <si>
    <t>H213</t>
  </si>
  <si>
    <t>H214</t>
  </si>
  <si>
    <t>H215</t>
  </si>
  <si>
    <t>H216</t>
  </si>
  <si>
    <t>H217</t>
  </si>
  <si>
    <t>H218</t>
  </si>
  <si>
    <t>H219</t>
  </si>
  <si>
    <t>H220</t>
  </si>
  <si>
    <t>H221</t>
  </si>
  <si>
    <t>H222</t>
  </si>
  <si>
    <t>H223</t>
  </si>
  <si>
    <t>H224</t>
  </si>
  <si>
    <t>H225</t>
  </si>
  <si>
    <t>H226</t>
  </si>
  <si>
    <t>H227</t>
  </si>
  <si>
    <t>H228</t>
  </si>
  <si>
    <t>H229</t>
  </si>
  <si>
    <t>H230</t>
  </si>
  <si>
    <t>H231</t>
  </si>
  <si>
    <t>H232</t>
  </si>
  <si>
    <t>H233</t>
  </si>
  <si>
    <t>H234</t>
  </si>
  <si>
    <t>H235</t>
  </si>
  <si>
    <t>H236</t>
  </si>
  <si>
    <t>H237</t>
  </si>
  <si>
    <t>H238</t>
  </si>
  <si>
    <t>H239</t>
  </si>
  <si>
    <t>H240</t>
  </si>
  <si>
    <t>H241</t>
  </si>
  <si>
    <t>H242</t>
  </si>
  <si>
    <t>H243</t>
  </si>
  <si>
    <t>H244</t>
  </si>
  <si>
    <t>H245</t>
  </si>
  <si>
    <t>H246</t>
  </si>
  <si>
    <t>H247</t>
  </si>
  <si>
    <t>H248</t>
  </si>
  <si>
    <t>H249</t>
  </si>
  <si>
    <t>H250</t>
  </si>
  <si>
    <t>Energy_category</t>
  </si>
  <si>
    <t>Row Labels</t>
  </si>
  <si>
    <t>Grand Total</t>
  </si>
  <si>
    <t>Average of Electricity_Usage (kWh)</t>
  </si>
  <si>
    <t xml:space="preserve">TOTAL HOUSEHOLD            </t>
  </si>
  <si>
    <t>TOTAL ELECTRICITY _USAGE</t>
  </si>
  <si>
    <t>AVERAGE OF ELECTRICITY</t>
  </si>
  <si>
    <t>TOTAL GAS_ USAGE</t>
  </si>
  <si>
    <t>AVERAGE GAS _USAGE</t>
  </si>
  <si>
    <t>High Energy Threshold = 470.20 kWh</t>
  </si>
  <si>
    <t>NORMAL ENERGY</t>
  </si>
  <si>
    <t>HIGH ENERGY</t>
  </si>
  <si>
    <t>Count of Household_ID</t>
  </si>
  <si>
    <t>Average of Gas_Usage</t>
  </si>
  <si>
    <t>Family_size vs Electricity_usage</t>
  </si>
  <si>
    <t>Appliances_Count vs Electricity_Usage (kWh)</t>
  </si>
  <si>
    <t xml:space="preserve">Monthly_Income vs Electricity_Usage (kWh)  </t>
  </si>
  <si>
    <t xml:space="preserve">Month vs Electricity_usage </t>
  </si>
  <si>
    <t>Household_ID vs Energy_Category</t>
  </si>
  <si>
    <t>Month vs Gas_Usage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</si>
</sst>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rgb="FF000000"/>
      <name val="Calibri"/>
      <family val="2"/>
      <scheme val="minor"/>
    </font>
    <font>
      <sz val="10"/>
      <color rgb="FF000000"/>
      <name val="Times New Roman"/>
      <family val="1"/>
    </font>
    <font>
      <b/>
      <shadow/>
      <sz val="12"/>
      <color rgb="FFFF0000"/>
      <name val="Calibri"/>
      <family val="2"/>
      <scheme val="minor"/>
    </font>
    <font>
      <b/>
      <shadow/>
      <sz val="12"/>
      <color rgb="FF70AD47"/>
      <name val="Calibri"/>
      <family val="2"/>
      <scheme val="minor"/>
    </font>
    <font>
      <b/>
      <shadow/>
      <sz val="12"/>
      <color rgb="FFFFC000"/>
      <name val="Calibri"/>
      <family val="2"/>
      <scheme val="minor"/>
    </font>
    <font>
      <b/>
      <shadow/>
      <sz val="12"/>
      <color rgb="FF00B0F0"/>
      <name val="Calibri"/>
      <family val="2"/>
      <scheme val="minor"/>
    </font>
    <font>
      <b/>
      <shadow/>
      <sz val="12"/>
      <color rgb="FFC55A11"/>
      <name val="Calibri"/>
      <family val="2"/>
      <scheme val="minor"/>
    </font>
    <font>
      <b/>
      <shadow/>
      <sz val="12"/>
      <color theme="1"/>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1" fillId="0" borderId="0" xfId="0" applyFont="1" applyAlignment="1">
      <alignment vertical="center"/>
    </xf>
    <xf numFmtId="0" fontId="1" fillId="0" borderId="0" xfId="0" applyFont="1" applyAlignment="1">
      <alignment horizontal="right" vertical="center"/>
    </xf>
    <xf numFmtId="164" fontId="0" fillId="0" borderId="0" xfId="0" applyNumberFormat="1"/>
    <xf numFmtId="0" fontId="3" fillId="0" borderId="0" xfId="0" applyFont="1" applyAlignment="1">
      <alignment horizontal="center" vertical="center" readingOrder="1"/>
    </xf>
    <xf numFmtId="0" fontId="4" fillId="0" borderId="0" xfId="0" applyFont="1" applyAlignment="1">
      <alignment horizontal="center" vertical="center" readingOrder="1"/>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7" fillId="0" borderId="0" xfId="0" applyFont="1" applyAlignment="1">
      <alignment horizontal="center" vertical="center" readingOrder="1"/>
    </xf>
    <xf numFmtId="0" fontId="0" fillId="2" borderId="0" xfId="0" applyFill="1"/>
    <xf numFmtId="0" fontId="8" fillId="2" borderId="0" xfId="0" applyFont="1" applyFill="1" applyAlignment="1">
      <alignment horizontal="center" vertical="center" readingOrder="1"/>
    </xf>
    <xf numFmtId="0" fontId="9" fillId="0" borderId="0" xfId="0" applyFont="1"/>
    <xf numFmtId="0" fontId="2" fillId="0" borderId="0" xfId="0" applyFont="1" applyAlignment="1">
      <alignment vertical="center"/>
    </xf>
    <xf numFmtId="0" fontId="0" fillId="0" borderId="0" xfId="0" applyNumberFormat="1"/>
  </cellXfs>
  <cellStyles count="1">
    <cellStyle name="Normal" xfId="0" builtinId="0"/>
  </cellStyles>
  <dxfs count="5">
    <dxf>
      <numFmt numFmtId="164" formatCode="0.0"/>
    </dxf>
    <dxf>
      <numFmt numFmtId="164" formatCode="0.0"/>
    </dxf>
    <dxf>
      <numFmt numFmtId="0" formatCode="General"/>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8728457135627"/>
          <c:y val="0.37101422848459731"/>
          <c:w val="0.6729484868608292"/>
          <c:h val="0.2993170327393286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1</c:v>
                </c:pt>
                <c:pt idx="1">
                  <c:v>2</c:v>
                </c:pt>
                <c:pt idx="2">
                  <c:v>3</c:v>
                </c:pt>
                <c:pt idx="3">
                  <c:v>4</c:v>
                </c:pt>
                <c:pt idx="4">
                  <c:v>5</c:v>
                </c:pt>
                <c:pt idx="5">
                  <c:v>6</c:v>
                </c:pt>
                <c:pt idx="6">
                  <c:v>7</c:v>
                </c:pt>
              </c:strCache>
            </c:strRef>
          </c:cat>
          <c:val>
            <c:numRef>
              <c:f>Sheet2!$B$4:$B$11</c:f>
              <c:numCache>
                <c:formatCode>0.0</c:formatCode>
                <c:ptCount val="7"/>
                <c:pt idx="0">
                  <c:v>283.19444444444446</c:v>
                </c:pt>
                <c:pt idx="1">
                  <c:v>309.23333333333335</c:v>
                </c:pt>
                <c:pt idx="2">
                  <c:v>330.625</c:v>
                </c:pt>
                <c:pt idx="3">
                  <c:v>277.44444444444446</c:v>
                </c:pt>
                <c:pt idx="4">
                  <c:v>316.25</c:v>
                </c:pt>
                <c:pt idx="5">
                  <c:v>296.23529411764707</c:v>
                </c:pt>
                <c:pt idx="6">
                  <c:v>307.46341463414632</c:v>
                </c:pt>
              </c:numCache>
            </c:numRef>
          </c:val>
          <c:extLst>
            <c:ext xmlns:c16="http://schemas.microsoft.com/office/drawing/2014/chart" uri="{C3380CC4-5D6E-409C-BE32-E72D297353CC}">
              <c16:uniqueId val="{00000000-F023-4655-ABE9-E54ED3A9A08A}"/>
            </c:ext>
          </c:extLst>
        </c:ser>
        <c:dLbls>
          <c:dLblPos val="outEnd"/>
          <c:showLegendKey val="0"/>
          <c:showVal val="1"/>
          <c:showCatName val="0"/>
          <c:showSerName val="0"/>
          <c:showPercent val="0"/>
          <c:showBubbleSize val="0"/>
        </c:dLbls>
        <c:gapWidth val="219"/>
        <c:overlap val="-27"/>
        <c:axId val="852488816"/>
        <c:axId val="815164400"/>
      </c:barChart>
      <c:catAx>
        <c:axId val="85248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164400"/>
        <c:crosses val="autoZero"/>
        <c:auto val="1"/>
        <c:lblAlgn val="ctr"/>
        <c:lblOffset val="100"/>
        <c:noMultiLvlLbl val="0"/>
      </c:catAx>
      <c:valAx>
        <c:axId val="81516440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8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Sheet2!$A$15:$A$28</c:f>
              <c:strCache>
                <c:ptCount val="13"/>
                <c:pt idx="0">
                  <c:v>2</c:v>
                </c:pt>
                <c:pt idx="1">
                  <c:v>3</c:v>
                </c:pt>
                <c:pt idx="2">
                  <c:v>4</c:v>
                </c:pt>
                <c:pt idx="3">
                  <c:v>5</c:v>
                </c:pt>
                <c:pt idx="4">
                  <c:v>6</c:v>
                </c:pt>
                <c:pt idx="5">
                  <c:v>7</c:v>
                </c:pt>
                <c:pt idx="6">
                  <c:v>8</c:v>
                </c:pt>
                <c:pt idx="7">
                  <c:v>9</c:v>
                </c:pt>
                <c:pt idx="8">
                  <c:v>10</c:v>
                </c:pt>
                <c:pt idx="9">
                  <c:v>11</c:v>
                </c:pt>
                <c:pt idx="10">
                  <c:v>12</c:v>
                </c:pt>
                <c:pt idx="11">
                  <c:v>13</c:v>
                </c:pt>
                <c:pt idx="12">
                  <c:v>14</c:v>
                </c:pt>
              </c:strCache>
            </c:strRef>
          </c:cat>
          <c:val>
            <c:numRef>
              <c:f>Sheet2!$B$15:$B$28</c:f>
              <c:numCache>
                <c:formatCode>0.0</c:formatCode>
                <c:ptCount val="13"/>
                <c:pt idx="0">
                  <c:v>286.92</c:v>
                </c:pt>
                <c:pt idx="1">
                  <c:v>334.75</c:v>
                </c:pt>
                <c:pt idx="2">
                  <c:v>299.05263157894734</c:v>
                </c:pt>
                <c:pt idx="3">
                  <c:v>303.5263157894737</c:v>
                </c:pt>
                <c:pt idx="4">
                  <c:v>278.33333333333331</c:v>
                </c:pt>
                <c:pt idx="5">
                  <c:v>339.04761904761904</c:v>
                </c:pt>
                <c:pt idx="6">
                  <c:v>285.70588235294116</c:v>
                </c:pt>
                <c:pt idx="7">
                  <c:v>299.19230769230768</c:v>
                </c:pt>
                <c:pt idx="8">
                  <c:v>299.5263157894737</c:v>
                </c:pt>
                <c:pt idx="9">
                  <c:v>307.625</c:v>
                </c:pt>
                <c:pt idx="10">
                  <c:v>304.90909090909093</c:v>
                </c:pt>
                <c:pt idx="11">
                  <c:v>296.71428571428572</c:v>
                </c:pt>
                <c:pt idx="12">
                  <c:v>295.78947368421052</c:v>
                </c:pt>
              </c:numCache>
            </c:numRef>
          </c:val>
          <c:extLst>
            <c:ext xmlns:c16="http://schemas.microsoft.com/office/drawing/2014/chart" uri="{C3380CC4-5D6E-409C-BE32-E72D297353CC}">
              <c16:uniqueId val="{00000000-2F9A-449E-8C02-D833CBD8CCFD}"/>
            </c:ext>
          </c:extLst>
        </c:ser>
        <c:dLbls>
          <c:dLblPos val="outEnd"/>
          <c:showLegendKey val="0"/>
          <c:showVal val="1"/>
          <c:showCatName val="0"/>
          <c:showSerName val="0"/>
          <c:showPercent val="0"/>
          <c:showBubbleSize val="0"/>
        </c:dLbls>
        <c:gapWidth val="219"/>
        <c:overlap val="-27"/>
        <c:axId val="628801696"/>
        <c:axId val="677455344"/>
      </c:barChart>
      <c:catAx>
        <c:axId val="62880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455344"/>
        <c:crosses val="autoZero"/>
        <c:auto val="1"/>
        <c:lblAlgn val="ctr"/>
        <c:lblOffset val="100"/>
        <c:noMultiLvlLbl val="0"/>
      </c:catAx>
      <c:valAx>
        <c:axId val="6774553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0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Sheet2!$J$3</c:f>
              <c:strCache>
                <c:ptCount val="1"/>
                <c:pt idx="0">
                  <c:v>Total</c:v>
                </c:pt>
              </c:strCache>
            </c:strRef>
          </c:tx>
          <c:spPr>
            <a:solidFill>
              <a:schemeClr val="accent1"/>
            </a:solidFill>
            <a:ln>
              <a:noFill/>
            </a:ln>
            <a:effectLst/>
          </c:spPr>
          <c:invertIfNegative val="0"/>
          <c:cat>
            <c:strRef>
              <c:f>Sheet2!$I$4:$I$254</c:f>
              <c:strCache>
                <c:ptCount val="250"/>
                <c:pt idx="0">
                  <c:v>20301</c:v>
                </c:pt>
                <c:pt idx="1">
                  <c:v>20854</c:v>
                </c:pt>
                <c:pt idx="2">
                  <c:v>21150</c:v>
                </c:pt>
                <c:pt idx="3">
                  <c:v>21802</c:v>
                </c:pt>
                <c:pt idx="4">
                  <c:v>22049</c:v>
                </c:pt>
                <c:pt idx="5">
                  <c:v>22200</c:v>
                </c:pt>
                <c:pt idx="6">
                  <c:v>22368</c:v>
                </c:pt>
                <c:pt idx="7">
                  <c:v>22557</c:v>
                </c:pt>
                <c:pt idx="8">
                  <c:v>22811</c:v>
                </c:pt>
                <c:pt idx="9">
                  <c:v>22869</c:v>
                </c:pt>
                <c:pt idx="10">
                  <c:v>22911</c:v>
                </c:pt>
                <c:pt idx="11">
                  <c:v>23051</c:v>
                </c:pt>
                <c:pt idx="12">
                  <c:v>23343</c:v>
                </c:pt>
                <c:pt idx="13">
                  <c:v>23420</c:v>
                </c:pt>
                <c:pt idx="14">
                  <c:v>23436</c:v>
                </c:pt>
                <c:pt idx="15">
                  <c:v>23987</c:v>
                </c:pt>
                <c:pt idx="16">
                  <c:v>24014</c:v>
                </c:pt>
                <c:pt idx="17">
                  <c:v>24499</c:v>
                </c:pt>
                <c:pt idx="18">
                  <c:v>25237</c:v>
                </c:pt>
                <c:pt idx="19">
                  <c:v>25539</c:v>
                </c:pt>
                <c:pt idx="20">
                  <c:v>25600</c:v>
                </c:pt>
                <c:pt idx="21">
                  <c:v>25801</c:v>
                </c:pt>
                <c:pt idx="22">
                  <c:v>25895</c:v>
                </c:pt>
                <c:pt idx="23">
                  <c:v>25949</c:v>
                </c:pt>
                <c:pt idx="24">
                  <c:v>26102</c:v>
                </c:pt>
                <c:pt idx="25">
                  <c:v>26295</c:v>
                </c:pt>
                <c:pt idx="26">
                  <c:v>26655</c:v>
                </c:pt>
                <c:pt idx="27">
                  <c:v>26893</c:v>
                </c:pt>
                <c:pt idx="28">
                  <c:v>27392</c:v>
                </c:pt>
                <c:pt idx="29">
                  <c:v>27400</c:v>
                </c:pt>
                <c:pt idx="30">
                  <c:v>27805</c:v>
                </c:pt>
                <c:pt idx="31">
                  <c:v>28155</c:v>
                </c:pt>
                <c:pt idx="32">
                  <c:v>28308</c:v>
                </c:pt>
                <c:pt idx="33">
                  <c:v>28680</c:v>
                </c:pt>
                <c:pt idx="34">
                  <c:v>28716</c:v>
                </c:pt>
                <c:pt idx="35">
                  <c:v>29435</c:v>
                </c:pt>
                <c:pt idx="36">
                  <c:v>29540</c:v>
                </c:pt>
                <c:pt idx="37">
                  <c:v>29662</c:v>
                </c:pt>
                <c:pt idx="38">
                  <c:v>29823</c:v>
                </c:pt>
                <c:pt idx="39">
                  <c:v>30492</c:v>
                </c:pt>
                <c:pt idx="40">
                  <c:v>30647</c:v>
                </c:pt>
                <c:pt idx="41">
                  <c:v>30729</c:v>
                </c:pt>
                <c:pt idx="42">
                  <c:v>30966</c:v>
                </c:pt>
                <c:pt idx="43">
                  <c:v>31093</c:v>
                </c:pt>
                <c:pt idx="44">
                  <c:v>31111</c:v>
                </c:pt>
                <c:pt idx="45">
                  <c:v>31411</c:v>
                </c:pt>
                <c:pt idx="46">
                  <c:v>32183</c:v>
                </c:pt>
                <c:pt idx="47">
                  <c:v>32688</c:v>
                </c:pt>
                <c:pt idx="48">
                  <c:v>32874</c:v>
                </c:pt>
                <c:pt idx="49">
                  <c:v>33284</c:v>
                </c:pt>
                <c:pt idx="50">
                  <c:v>33403</c:v>
                </c:pt>
                <c:pt idx="51">
                  <c:v>33500</c:v>
                </c:pt>
                <c:pt idx="52">
                  <c:v>35151</c:v>
                </c:pt>
                <c:pt idx="53">
                  <c:v>35338</c:v>
                </c:pt>
                <c:pt idx="54">
                  <c:v>35708</c:v>
                </c:pt>
                <c:pt idx="55">
                  <c:v>36371</c:v>
                </c:pt>
                <c:pt idx="56">
                  <c:v>36646</c:v>
                </c:pt>
                <c:pt idx="57">
                  <c:v>36896</c:v>
                </c:pt>
                <c:pt idx="58">
                  <c:v>36964</c:v>
                </c:pt>
                <c:pt idx="59">
                  <c:v>37019</c:v>
                </c:pt>
                <c:pt idx="60">
                  <c:v>37429</c:v>
                </c:pt>
                <c:pt idx="61">
                  <c:v>38070</c:v>
                </c:pt>
                <c:pt idx="62">
                  <c:v>38589</c:v>
                </c:pt>
                <c:pt idx="63">
                  <c:v>38711</c:v>
                </c:pt>
                <c:pt idx="64">
                  <c:v>39190</c:v>
                </c:pt>
                <c:pt idx="65">
                  <c:v>39508</c:v>
                </c:pt>
                <c:pt idx="66">
                  <c:v>39738</c:v>
                </c:pt>
                <c:pt idx="67">
                  <c:v>39830</c:v>
                </c:pt>
                <c:pt idx="68">
                  <c:v>40056</c:v>
                </c:pt>
                <c:pt idx="69">
                  <c:v>40932</c:v>
                </c:pt>
                <c:pt idx="70">
                  <c:v>41357</c:v>
                </c:pt>
                <c:pt idx="71">
                  <c:v>41918</c:v>
                </c:pt>
                <c:pt idx="72">
                  <c:v>42399</c:v>
                </c:pt>
                <c:pt idx="73">
                  <c:v>42671</c:v>
                </c:pt>
                <c:pt idx="74">
                  <c:v>42677</c:v>
                </c:pt>
                <c:pt idx="75">
                  <c:v>43049</c:v>
                </c:pt>
                <c:pt idx="76">
                  <c:v>43093</c:v>
                </c:pt>
                <c:pt idx="77">
                  <c:v>43289</c:v>
                </c:pt>
                <c:pt idx="78">
                  <c:v>43328</c:v>
                </c:pt>
                <c:pt idx="79">
                  <c:v>43664</c:v>
                </c:pt>
                <c:pt idx="80">
                  <c:v>45184</c:v>
                </c:pt>
                <c:pt idx="81">
                  <c:v>45342</c:v>
                </c:pt>
                <c:pt idx="82">
                  <c:v>45945</c:v>
                </c:pt>
                <c:pt idx="83">
                  <c:v>46309</c:v>
                </c:pt>
                <c:pt idx="84">
                  <c:v>46641</c:v>
                </c:pt>
                <c:pt idx="85">
                  <c:v>46646</c:v>
                </c:pt>
                <c:pt idx="86">
                  <c:v>46736</c:v>
                </c:pt>
                <c:pt idx="87">
                  <c:v>47751</c:v>
                </c:pt>
                <c:pt idx="88">
                  <c:v>48251</c:v>
                </c:pt>
                <c:pt idx="89">
                  <c:v>49124</c:v>
                </c:pt>
                <c:pt idx="90">
                  <c:v>49299</c:v>
                </c:pt>
                <c:pt idx="91">
                  <c:v>49375</c:v>
                </c:pt>
                <c:pt idx="92">
                  <c:v>49592</c:v>
                </c:pt>
                <c:pt idx="93">
                  <c:v>49855</c:v>
                </c:pt>
                <c:pt idx="94">
                  <c:v>50306</c:v>
                </c:pt>
                <c:pt idx="95">
                  <c:v>50746</c:v>
                </c:pt>
                <c:pt idx="96">
                  <c:v>51024</c:v>
                </c:pt>
                <c:pt idx="97">
                  <c:v>51616</c:v>
                </c:pt>
                <c:pt idx="98">
                  <c:v>52093</c:v>
                </c:pt>
                <c:pt idx="99">
                  <c:v>52097</c:v>
                </c:pt>
                <c:pt idx="100">
                  <c:v>52217</c:v>
                </c:pt>
                <c:pt idx="101">
                  <c:v>52635</c:v>
                </c:pt>
                <c:pt idx="102">
                  <c:v>52711</c:v>
                </c:pt>
                <c:pt idx="103">
                  <c:v>52745</c:v>
                </c:pt>
                <c:pt idx="104">
                  <c:v>53828</c:v>
                </c:pt>
                <c:pt idx="105">
                  <c:v>54584</c:v>
                </c:pt>
                <c:pt idx="106">
                  <c:v>54698</c:v>
                </c:pt>
                <c:pt idx="107">
                  <c:v>54754</c:v>
                </c:pt>
                <c:pt idx="108">
                  <c:v>55247</c:v>
                </c:pt>
                <c:pt idx="109">
                  <c:v>55777</c:v>
                </c:pt>
                <c:pt idx="110">
                  <c:v>56212</c:v>
                </c:pt>
                <c:pt idx="111">
                  <c:v>56631</c:v>
                </c:pt>
                <c:pt idx="112">
                  <c:v>57157</c:v>
                </c:pt>
                <c:pt idx="113">
                  <c:v>57504</c:v>
                </c:pt>
                <c:pt idx="114">
                  <c:v>58360</c:v>
                </c:pt>
                <c:pt idx="115">
                  <c:v>58467</c:v>
                </c:pt>
                <c:pt idx="116">
                  <c:v>58623</c:v>
                </c:pt>
                <c:pt idx="117">
                  <c:v>59384</c:v>
                </c:pt>
                <c:pt idx="118">
                  <c:v>59734</c:v>
                </c:pt>
                <c:pt idx="119">
                  <c:v>59790</c:v>
                </c:pt>
                <c:pt idx="120">
                  <c:v>60158</c:v>
                </c:pt>
                <c:pt idx="121">
                  <c:v>60764</c:v>
                </c:pt>
                <c:pt idx="122">
                  <c:v>60818</c:v>
                </c:pt>
                <c:pt idx="123">
                  <c:v>61975</c:v>
                </c:pt>
                <c:pt idx="124">
                  <c:v>62107</c:v>
                </c:pt>
                <c:pt idx="125">
                  <c:v>62642</c:v>
                </c:pt>
                <c:pt idx="126">
                  <c:v>63016</c:v>
                </c:pt>
                <c:pt idx="127">
                  <c:v>63484</c:v>
                </c:pt>
                <c:pt idx="128">
                  <c:v>63525</c:v>
                </c:pt>
                <c:pt idx="129">
                  <c:v>63919</c:v>
                </c:pt>
                <c:pt idx="130">
                  <c:v>64064</c:v>
                </c:pt>
                <c:pt idx="131">
                  <c:v>64078</c:v>
                </c:pt>
                <c:pt idx="132">
                  <c:v>65017</c:v>
                </c:pt>
                <c:pt idx="133">
                  <c:v>65236</c:v>
                </c:pt>
                <c:pt idx="134">
                  <c:v>65525</c:v>
                </c:pt>
                <c:pt idx="135">
                  <c:v>65543</c:v>
                </c:pt>
                <c:pt idx="136">
                  <c:v>65714</c:v>
                </c:pt>
                <c:pt idx="137">
                  <c:v>66175</c:v>
                </c:pt>
                <c:pt idx="138">
                  <c:v>66214</c:v>
                </c:pt>
                <c:pt idx="139">
                  <c:v>66717</c:v>
                </c:pt>
                <c:pt idx="140">
                  <c:v>66843</c:v>
                </c:pt>
                <c:pt idx="141">
                  <c:v>66975</c:v>
                </c:pt>
                <c:pt idx="142">
                  <c:v>67202</c:v>
                </c:pt>
                <c:pt idx="143">
                  <c:v>67254</c:v>
                </c:pt>
                <c:pt idx="144">
                  <c:v>67333</c:v>
                </c:pt>
                <c:pt idx="145">
                  <c:v>68354</c:v>
                </c:pt>
                <c:pt idx="146">
                  <c:v>68404</c:v>
                </c:pt>
                <c:pt idx="147">
                  <c:v>68747</c:v>
                </c:pt>
                <c:pt idx="148">
                  <c:v>69377</c:v>
                </c:pt>
                <c:pt idx="149">
                  <c:v>69689</c:v>
                </c:pt>
                <c:pt idx="150">
                  <c:v>69726</c:v>
                </c:pt>
                <c:pt idx="151">
                  <c:v>69811</c:v>
                </c:pt>
                <c:pt idx="152">
                  <c:v>70108</c:v>
                </c:pt>
                <c:pt idx="153">
                  <c:v>70300</c:v>
                </c:pt>
                <c:pt idx="154">
                  <c:v>70336</c:v>
                </c:pt>
                <c:pt idx="155">
                  <c:v>70859</c:v>
                </c:pt>
                <c:pt idx="156">
                  <c:v>70993</c:v>
                </c:pt>
                <c:pt idx="157">
                  <c:v>71293</c:v>
                </c:pt>
                <c:pt idx="158">
                  <c:v>71407</c:v>
                </c:pt>
                <c:pt idx="159">
                  <c:v>71663</c:v>
                </c:pt>
                <c:pt idx="160">
                  <c:v>71885</c:v>
                </c:pt>
                <c:pt idx="161">
                  <c:v>71990</c:v>
                </c:pt>
                <c:pt idx="162">
                  <c:v>72083</c:v>
                </c:pt>
                <c:pt idx="163">
                  <c:v>72662</c:v>
                </c:pt>
                <c:pt idx="164">
                  <c:v>72921</c:v>
                </c:pt>
                <c:pt idx="165">
                  <c:v>73006</c:v>
                </c:pt>
                <c:pt idx="166">
                  <c:v>73222</c:v>
                </c:pt>
                <c:pt idx="167">
                  <c:v>73351</c:v>
                </c:pt>
                <c:pt idx="168">
                  <c:v>74021</c:v>
                </c:pt>
                <c:pt idx="169">
                  <c:v>74045</c:v>
                </c:pt>
                <c:pt idx="170">
                  <c:v>74240</c:v>
                </c:pt>
                <c:pt idx="171">
                  <c:v>74340</c:v>
                </c:pt>
                <c:pt idx="172">
                  <c:v>74748</c:v>
                </c:pt>
                <c:pt idx="173">
                  <c:v>75609</c:v>
                </c:pt>
                <c:pt idx="174">
                  <c:v>75680</c:v>
                </c:pt>
                <c:pt idx="175">
                  <c:v>75766</c:v>
                </c:pt>
                <c:pt idx="176">
                  <c:v>76179</c:v>
                </c:pt>
                <c:pt idx="177">
                  <c:v>76250</c:v>
                </c:pt>
                <c:pt idx="178">
                  <c:v>76491</c:v>
                </c:pt>
                <c:pt idx="179">
                  <c:v>76556</c:v>
                </c:pt>
                <c:pt idx="180">
                  <c:v>76573</c:v>
                </c:pt>
                <c:pt idx="181">
                  <c:v>76661</c:v>
                </c:pt>
                <c:pt idx="182">
                  <c:v>76835</c:v>
                </c:pt>
                <c:pt idx="183">
                  <c:v>76958</c:v>
                </c:pt>
                <c:pt idx="184">
                  <c:v>78335</c:v>
                </c:pt>
                <c:pt idx="185">
                  <c:v>78871</c:v>
                </c:pt>
                <c:pt idx="186">
                  <c:v>79040</c:v>
                </c:pt>
                <c:pt idx="187">
                  <c:v>79101</c:v>
                </c:pt>
                <c:pt idx="188">
                  <c:v>79638</c:v>
                </c:pt>
                <c:pt idx="189">
                  <c:v>80160</c:v>
                </c:pt>
                <c:pt idx="190">
                  <c:v>80403</c:v>
                </c:pt>
                <c:pt idx="191">
                  <c:v>80713</c:v>
                </c:pt>
                <c:pt idx="192">
                  <c:v>81135</c:v>
                </c:pt>
                <c:pt idx="193">
                  <c:v>81267</c:v>
                </c:pt>
                <c:pt idx="194">
                  <c:v>81389</c:v>
                </c:pt>
                <c:pt idx="195">
                  <c:v>81434</c:v>
                </c:pt>
                <c:pt idx="196">
                  <c:v>82752</c:v>
                </c:pt>
                <c:pt idx="197">
                  <c:v>83208</c:v>
                </c:pt>
                <c:pt idx="198">
                  <c:v>83734</c:v>
                </c:pt>
                <c:pt idx="199">
                  <c:v>85318</c:v>
                </c:pt>
                <c:pt idx="200">
                  <c:v>85417</c:v>
                </c:pt>
                <c:pt idx="201">
                  <c:v>85726</c:v>
                </c:pt>
                <c:pt idx="202">
                  <c:v>85733</c:v>
                </c:pt>
                <c:pt idx="203">
                  <c:v>86105</c:v>
                </c:pt>
                <c:pt idx="204">
                  <c:v>86235</c:v>
                </c:pt>
                <c:pt idx="205">
                  <c:v>86320</c:v>
                </c:pt>
                <c:pt idx="206">
                  <c:v>86412</c:v>
                </c:pt>
                <c:pt idx="207">
                  <c:v>86617</c:v>
                </c:pt>
                <c:pt idx="208">
                  <c:v>86690</c:v>
                </c:pt>
                <c:pt idx="209">
                  <c:v>87172</c:v>
                </c:pt>
                <c:pt idx="210">
                  <c:v>87215</c:v>
                </c:pt>
                <c:pt idx="211">
                  <c:v>87270</c:v>
                </c:pt>
                <c:pt idx="212">
                  <c:v>87863</c:v>
                </c:pt>
                <c:pt idx="213">
                  <c:v>88027</c:v>
                </c:pt>
                <c:pt idx="214">
                  <c:v>88385</c:v>
                </c:pt>
                <c:pt idx="215">
                  <c:v>88497</c:v>
                </c:pt>
                <c:pt idx="216">
                  <c:v>89042</c:v>
                </c:pt>
                <c:pt idx="217">
                  <c:v>89678</c:v>
                </c:pt>
                <c:pt idx="218">
                  <c:v>90031</c:v>
                </c:pt>
                <c:pt idx="219">
                  <c:v>90091</c:v>
                </c:pt>
                <c:pt idx="220">
                  <c:v>90271</c:v>
                </c:pt>
                <c:pt idx="221">
                  <c:v>90313</c:v>
                </c:pt>
                <c:pt idx="222">
                  <c:v>90316</c:v>
                </c:pt>
                <c:pt idx="223">
                  <c:v>90467</c:v>
                </c:pt>
                <c:pt idx="224">
                  <c:v>91295</c:v>
                </c:pt>
                <c:pt idx="225">
                  <c:v>92082</c:v>
                </c:pt>
                <c:pt idx="226">
                  <c:v>92615</c:v>
                </c:pt>
                <c:pt idx="227">
                  <c:v>92694</c:v>
                </c:pt>
                <c:pt idx="228">
                  <c:v>92789</c:v>
                </c:pt>
                <c:pt idx="229">
                  <c:v>92991</c:v>
                </c:pt>
                <c:pt idx="230">
                  <c:v>93523</c:v>
                </c:pt>
                <c:pt idx="231">
                  <c:v>93656</c:v>
                </c:pt>
                <c:pt idx="232">
                  <c:v>93666</c:v>
                </c:pt>
                <c:pt idx="233">
                  <c:v>93744</c:v>
                </c:pt>
                <c:pt idx="234">
                  <c:v>93847</c:v>
                </c:pt>
                <c:pt idx="235">
                  <c:v>94290</c:v>
                </c:pt>
                <c:pt idx="236">
                  <c:v>94543</c:v>
                </c:pt>
                <c:pt idx="237">
                  <c:v>94740</c:v>
                </c:pt>
                <c:pt idx="238">
                  <c:v>96213</c:v>
                </c:pt>
                <c:pt idx="239">
                  <c:v>96429</c:v>
                </c:pt>
                <c:pt idx="240">
                  <c:v>97371</c:v>
                </c:pt>
                <c:pt idx="241">
                  <c:v>97505</c:v>
                </c:pt>
                <c:pt idx="242">
                  <c:v>97575</c:v>
                </c:pt>
                <c:pt idx="243">
                  <c:v>98069</c:v>
                </c:pt>
                <c:pt idx="244">
                  <c:v>98657</c:v>
                </c:pt>
                <c:pt idx="245">
                  <c:v>98781</c:v>
                </c:pt>
                <c:pt idx="246">
                  <c:v>98832</c:v>
                </c:pt>
                <c:pt idx="247">
                  <c:v>99605</c:v>
                </c:pt>
                <c:pt idx="248">
                  <c:v>99634</c:v>
                </c:pt>
                <c:pt idx="249">
                  <c:v>99909</c:v>
                </c:pt>
              </c:strCache>
            </c:strRef>
          </c:cat>
          <c:val>
            <c:numRef>
              <c:f>Sheet2!$J$4:$J$254</c:f>
              <c:numCache>
                <c:formatCode>General</c:formatCode>
                <c:ptCount val="250"/>
                <c:pt idx="0">
                  <c:v>500</c:v>
                </c:pt>
                <c:pt idx="1">
                  <c:v>346</c:v>
                </c:pt>
                <c:pt idx="2">
                  <c:v>404</c:v>
                </c:pt>
                <c:pt idx="3">
                  <c:v>189</c:v>
                </c:pt>
                <c:pt idx="4">
                  <c:v>263</c:v>
                </c:pt>
                <c:pt idx="5">
                  <c:v>161</c:v>
                </c:pt>
                <c:pt idx="6">
                  <c:v>118</c:v>
                </c:pt>
                <c:pt idx="7">
                  <c:v>372</c:v>
                </c:pt>
                <c:pt idx="8">
                  <c:v>194</c:v>
                </c:pt>
                <c:pt idx="9">
                  <c:v>496</c:v>
                </c:pt>
                <c:pt idx="10">
                  <c:v>134</c:v>
                </c:pt>
                <c:pt idx="11">
                  <c:v>157</c:v>
                </c:pt>
                <c:pt idx="12">
                  <c:v>429</c:v>
                </c:pt>
                <c:pt idx="13">
                  <c:v>173</c:v>
                </c:pt>
                <c:pt idx="14">
                  <c:v>198</c:v>
                </c:pt>
                <c:pt idx="15">
                  <c:v>495</c:v>
                </c:pt>
                <c:pt idx="16">
                  <c:v>235</c:v>
                </c:pt>
                <c:pt idx="17">
                  <c:v>323</c:v>
                </c:pt>
                <c:pt idx="18">
                  <c:v>473</c:v>
                </c:pt>
                <c:pt idx="19">
                  <c:v>316</c:v>
                </c:pt>
                <c:pt idx="20">
                  <c:v>280</c:v>
                </c:pt>
                <c:pt idx="21">
                  <c:v>351</c:v>
                </c:pt>
                <c:pt idx="22">
                  <c:v>478</c:v>
                </c:pt>
                <c:pt idx="23">
                  <c:v>146</c:v>
                </c:pt>
                <c:pt idx="24">
                  <c:v>267</c:v>
                </c:pt>
                <c:pt idx="25">
                  <c:v>136</c:v>
                </c:pt>
                <c:pt idx="26">
                  <c:v>225</c:v>
                </c:pt>
                <c:pt idx="27">
                  <c:v>243</c:v>
                </c:pt>
                <c:pt idx="28">
                  <c:v>483</c:v>
                </c:pt>
                <c:pt idx="29">
                  <c:v>135</c:v>
                </c:pt>
                <c:pt idx="30">
                  <c:v>153</c:v>
                </c:pt>
                <c:pt idx="31">
                  <c:v>214</c:v>
                </c:pt>
                <c:pt idx="32">
                  <c:v>119</c:v>
                </c:pt>
                <c:pt idx="33">
                  <c:v>436</c:v>
                </c:pt>
                <c:pt idx="34">
                  <c:v>301</c:v>
                </c:pt>
                <c:pt idx="35">
                  <c:v>415</c:v>
                </c:pt>
                <c:pt idx="36">
                  <c:v>109</c:v>
                </c:pt>
                <c:pt idx="37">
                  <c:v>255</c:v>
                </c:pt>
                <c:pt idx="38">
                  <c:v>355</c:v>
                </c:pt>
                <c:pt idx="39">
                  <c:v>240</c:v>
                </c:pt>
                <c:pt idx="40">
                  <c:v>190</c:v>
                </c:pt>
                <c:pt idx="41">
                  <c:v>426</c:v>
                </c:pt>
                <c:pt idx="42">
                  <c:v>247</c:v>
                </c:pt>
                <c:pt idx="43">
                  <c:v>464</c:v>
                </c:pt>
                <c:pt idx="44">
                  <c:v>363</c:v>
                </c:pt>
                <c:pt idx="45">
                  <c:v>341</c:v>
                </c:pt>
                <c:pt idx="46">
                  <c:v>468</c:v>
                </c:pt>
                <c:pt idx="47">
                  <c:v>132</c:v>
                </c:pt>
                <c:pt idx="48">
                  <c:v>112</c:v>
                </c:pt>
                <c:pt idx="49">
                  <c:v>189</c:v>
                </c:pt>
                <c:pt idx="50">
                  <c:v>319</c:v>
                </c:pt>
                <c:pt idx="51">
                  <c:v>323</c:v>
                </c:pt>
                <c:pt idx="52">
                  <c:v>251</c:v>
                </c:pt>
                <c:pt idx="53">
                  <c:v>411</c:v>
                </c:pt>
                <c:pt idx="54">
                  <c:v>496</c:v>
                </c:pt>
                <c:pt idx="55">
                  <c:v>376</c:v>
                </c:pt>
                <c:pt idx="56">
                  <c:v>475</c:v>
                </c:pt>
                <c:pt idx="57">
                  <c:v>100</c:v>
                </c:pt>
                <c:pt idx="58">
                  <c:v>472</c:v>
                </c:pt>
                <c:pt idx="59">
                  <c:v>302</c:v>
                </c:pt>
                <c:pt idx="60">
                  <c:v>466</c:v>
                </c:pt>
                <c:pt idx="61">
                  <c:v>420</c:v>
                </c:pt>
                <c:pt idx="62">
                  <c:v>262</c:v>
                </c:pt>
                <c:pt idx="63">
                  <c:v>108</c:v>
                </c:pt>
                <c:pt idx="64">
                  <c:v>374</c:v>
                </c:pt>
                <c:pt idx="65">
                  <c:v>233</c:v>
                </c:pt>
                <c:pt idx="66">
                  <c:v>152</c:v>
                </c:pt>
                <c:pt idx="67">
                  <c:v>438</c:v>
                </c:pt>
                <c:pt idx="68">
                  <c:v>358</c:v>
                </c:pt>
                <c:pt idx="69">
                  <c:v>456</c:v>
                </c:pt>
                <c:pt idx="70">
                  <c:v>316</c:v>
                </c:pt>
                <c:pt idx="71">
                  <c:v>413</c:v>
                </c:pt>
                <c:pt idx="72">
                  <c:v>175</c:v>
                </c:pt>
                <c:pt idx="73">
                  <c:v>429</c:v>
                </c:pt>
                <c:pt idx="74">
                  <c:v>100</c:v>
                </c:pt>
                <c:pt idx="75">
                  <c:v>145</c:v>
                </c:pt>
                <c:pt idx="76">
                  <c:v>293</c:v>
                </c:pt>
                <c:pt idx="77">
                  <c:v>470</c:v>
                </c:pt>
                <c:pt idx="78">
                  <c:v>199</c:v>
                </c:pt>
                <c:pt idx="79">
                  <c:v>115</c:v>
                </c:pt>
                <c:pt idx="80">
                  <c:v>142</c:v>
                </c:pt>
                <c:pt idx="81">
                  <c:v>278</c:v>
                </c:pt>
                <c:pt idx="82">
                  <c:v>326</c:v>
                </c:pt>
                <c:pt idx="83">
                  <c:v>495</c:v>
                </c:pt>
                <c:pt idx="84">
                  <c:v>492</c:v>
                </c:pt>
                <c:pt idx="85">
                  <c:v>496</c:v>
                </c:pt>
                <c:pt idx="86">
                  <c:v>435</c:v>
                </c:pt>
                <c:pt idx="87">
                  <c:v>231</c:v>
                </c:pt>
                <c:pt idx="88">
                  <c:v>263</c:v>
                </c:pt>
                <c:pt idx="89">
                  <c:v>291</c:v>
                </c:pt>
                <c:pt idx="90">
                  <c:v>282</c:v>
                </c:pt>
                <c:pt idx="91">
                  <c:v>457</c:v>
                </c:pt>
                <c:pt idx="92">
                  <c:v>266</c:v>
                </c:pt>
                <c:pt idx="93">
                  <c:v>291</c:v>
                </c:pt>
                <c:pt idx="94">
                  <c:v>174</c:v>
                </c:pt>
                <c:pt idx="95">
                  <c:v>250</c:v>
                </c:pt>
                <c:pt idx="96">
                  <c:v>289</c:v>
                </c:pt>
                <c:pt idx="97">
                  <c:v>493</c:v>
                </c:pt>
                <c:pt idx="98">
                  <c:v>402</c:v>
                </c:pt>
                <c:pt idx="99">
                  <c:v>225</c:v>
                </c:pt>
                <c:pt idx="100">
                  <c:v>246</c:v>
                </c:pt>
                <c:pt idx="101">
                  <c:v>245</c:v>
                </c:pt>
                <c:pt idx="102">
                  <c:v>378</c:v>
                </c:pt>
                <c:pt idx="103">
                  <c:v>221</c:v>
                </c:pt>
                <c:pt idx="104">
                  <c:v>175</c:v>
                </c:pt>
                <c:pt idx="105">
                  <c:v>382</c:v>
                </c:pt>
                <c:pt idx="106">
                  <c:v>267</c:v>
                </c:pt>
                <c:pt idx="107">
                  <c:v>352</c:v>
                </c:pt>
                <c:pt idx="108">
                  <c:v>300</c:v>
                </c:pt>
                <c:pt idx="109">
                  <c:v>441</c:v>
                </c:pt>
                <c:pt idx="110">
                  <c:v>320</c:v>
                </c:pt>
                <c:pt idx="111">
                  <c:v>264</c:v>
                </c:pt>
                <c:pt idx="112">
                  <c:v>200</c:v>
                </c:pt>
                <c:pt idx="113">
                  <c:v>192</c:v>
                </c:pt>
                <c:pt idx="114">
                  <c:v>468</c:v>
                </c:pt>
                <c:pt idx="115">
                  <c:v>276</c:v>
                </c:pt>
                <c:pt idx="116">
                  <c:v>357</c:v>
                </c:pt>
                <c:pt idx="117">
                  <c:v>490</c:v>
                </c:pt>
                <c:pt idx="118">
                  <c:v>179</c:v>
                </c:pt>
                <c:pt idx="119">
                  <c:v>208</c:v>
                </c:pt>
                <c:pt idx="120">
                  <c:v>489</c:v>
                </c:pt>
                <c:pt idx="121">
                  <c:v>141</c:v>
                </c:pt>
                <c:pt idx="122">
                  <c:v>483</c:v>
                </c:pt>
                <c:pt idx="123">
                  <c:v>402</c:v>
                </c:pt>
                <c:pt idx="124">
                  <c:v>143</c:v>
                </c:pt>
                <c:pt idx="125">
                  <c:v>195</c:v>
                </c:pt>
                <c:pt idx="126">
                  <c:v>198</c:v>
                </c:pt>
                <c:pt idx="127">
                  <c:v>314</c:v>
                </c:pt>
                <c:pt idx="128">
                  <c:v>334</c:v>
                </c:pt>
                <c:pt idx="129">
                  <c:v>244</c:v>
                </c:pt>
                <c:pt idx="130">
                  <c:v>305</c:v>
                </c:pt>
                <c:pt idx="131">
                  <c:v>127</c:v>
                </c:pt>
                <c:pt idx="132">
                  <c:v>316</c:v>
                </c:pt>
                <c:pt idx="133">
                  <c:v>352</c:v>
                </c:pt>
                <c:pt idx="134">
                  <c:v>151</c:v>
                </c:pt>
                <c:pt idx="135">
                  <c:v>243</c:v>
                </c:pt>
                <c:pt idx="136">
                  <c:v>497</c:v>
                </c:pt>
                <c:pt idx="137">
                  <c:v>472</c:v>
                </c:pt>
                <c:pt idx="138">
                  <c:v>364</c:v>
                </c:pt>
                <c:pt idx="139">
                  <c:v>439</c:v>
                </c:pt>
                <c:pt idx="140">
                  <c:v>316</c:v>
                </c:pt>
                <c:pt idx="141">
                  <c:v>467</c:v>
                </c:pt>
                <c:pt idx="142">
                  <c:v>430</c:v>
                </c:pt>
                <c:pt idx="143">
                  <c:v>295</c:v>
                </c:pt>
                <c:pt idx="144">
                  <c:v>168</c:v>
                </c:pt>
                <c:pt idx="145">
                  <c:v>385</c:v>
                </c:pt>
                <c:pt idx="146">
                  <c:v>156</c:v>
                </c:pt>
                <c:pt idx="147">
                  <c:v>143</c:v>
                </c:pt>
                <c:pt idx="148">
                  <c:v>243</c:v>
                </c:pt>
                <c:pt idx="149">
                  <c:v>463</c:v>
                </c:pt>
                <c:pt idx="150">
                  <c:v>482</c:v>
                </c:pt>
                <c:pt idx="151">
                  <c:v>111</c:v>
                </c:pt>
                <c:pt idx="152">
                  <c:v>118</c:v>
                </c:pt>
                <c:pt idx="153">
                  <c:v>460</c:v>
                </c:pt>
                <c:pt idx="154">
                  <c:v>269</c:v>
                </c:pt>
                <c:pt idx="155">
                  <c:v>251</c:v>
                </c:pt>
                <c:pt idx="156">
                  <c:v>281</c:v>
                </c:pt>
                <c:pt idx="157">
                  <c:v>456</c:v>
                </c:pt>
                <c:pt idx="158">
                  <c:v>250</c:v>
                </c:pt>
                <c:pt idx="159">
                  <c:v>384</c:v>
                </c:pt>
                <c:pt idx="160">
                  <c:v>128</c:v>
                </c:pt>
                <c:pt idx="161">
                  <c:v>332</c:v>
                </c:pt>
                <c:pt idx="162">
                  <c:v>422</c:v>
                </c:pt>
                <c:pt idx="163">
                  <c:v>479</c:v>
                </c:pt>
                <c:pt idx="164">
                  <c:v>416</c:v>
                </c:pt>
                <c:pt idx="165">
                  <c:v>468</c:v>
                </c:pt>
                <c:pt idx="166">
                  <c:v>371</c:v>
                </c:pt>
                <c:pt idx="167">
                  <c:v>454</c:v>
                </c:pt>
                <c:pt idx="168">
                  <c:v>272</c:v>
                </c:pt>
                <c:pt idx="169">
                  <c:v>138</c:v>
                </c:pt>
                <c:pt idx="170">
                  <c:v>106</c:v>
                </c:pt>
                <c:pt idx="171">
                  <c:v>277</c:v>
                </c:pt>
                <c:pt idx="172">
                  <c:v>169</c:v>
                </c:pt>
                <c:pt idx="173">
                  <c:v>486</c:v>
                </c:pt>
                <c:pt idx="174">
                  <c:v>259</c:v>
                </c:pt>
                <c:pt idx="175">
                  <c:v>341</c:v>
                </c:pt>
                <c:pt idx="176">
                  <c:v>416</c:v>
                </c:pt>
                <c:pt idx="177">
                  <c:v>401</c:v>
                </c:pt>
                <c:pt idx="178">
                  <c:v>232</c:v>
                </c:pt>
                <c:pt idx="179">
                  <c:v>111</c:v>
                </c:pt>
                <c:pt idx="180">
                  <c:v>319</c:v>
                </c:pt>
                <c:pt idx="181">
                  <c:v>447</c:v>
                </c:pt>
                <c:pt idx="182">
                  <c:v>322</c:v>
                </c:pt>
                <c:pt idx="183">
                  <c:v>244</c:v>
                </c:pt>
                <c:pt idx="184">
                  <c:v>272</c:v>
                </c:pt>
                <c:pt idx="185">
                  <c:v>332</c:v>
                </c:pt>
                <c:pt idx="186">
                  <c:v>367</c:v>
                </c:pt>
                <c:pt idx="187">
                  <c:v>339</c:v>
                </c:pt>
                <c:pt idx="188">
                  <c:v>107</c:v>
                </c:pt>
                <c:pt idx="189">
                  <c:v>296</c:v>
                </c:pt>
                <c:pt idx="190">
                  <c:v>327</c:v>
                </c:pt>
                <c:pt idx="191">
                  <c:v>213</c:v>
                </c:pt>
                <c:pt idx="192">
                  <c:v>286</c:v>
                </c:pt>
                <c:pt idx="193">
                  <c:v>460</c:v>
                </c:pt>
                <c:pt idx="194">
                  <c:v>285</c:v>
                </c:pt>
                <c:pt idx="195">
                  <c:v>326</c:v>
                </c:pt>
                <c:pt idx="196">
                  <c:v>311</c:v>
                </c:pt>
                <c:pt idx="197">
                  <c:v>338</c:v>
                </c:pt>
                <c:pt idx="198">
                  <c:v>277</c:v>
                </c:pt>
                <c:pt idx="199">
                  <c:v>103</c:v>
                </c:pt>
                <c:pt idx="200">
                  <c:v>181</c:v>
                </c:pt>
                <c:pt idx="201">
                  <c:v>273</c:v>
                </c:pt>
                <c:pt idx="202">
                  <c:v>164</c:v>
                </c:pt>
                <c:pt idx="203">
                  <c:v>104</c:v>
                </c:pt>
                <c:pt idx="204">
                  <c:v>329</c:v>
                </c:pt>
                <c:pt idx="205">
                  <c:v>400</c:v>
                </c:pt>
                <c:pt idx="206">
                  <c:v>259</c:v>
                </c:pt>
                <c:pt idx="207">
                  <c:v>242</c:v>
                </c:pt>
                <c:pt idx="208">
                  <c:v>289</c:v>
                </c:pt>
                <c:pt idx="209">
                  <c:v>379</c:v>
                </c:pt>
                <c:pt idx="210">
                  <c:v>447</c:v>
                </c:pt>
                <c:pt idx="211">
                  <c:v>314</c:v>
                </c:pt>
                <c:pt idx="212">
                  <c:v>367</c:v>
                </c:pt>
                <c:pt idx="213">
                  <c:v>216</c:v>
                </c:pt>
                <c:pt idx="214">
                  <c:v>352</c:v>
                </c:pt>
                <c:pt idx="215">
                  <c:v>183</c:v>
                </c:pt>
                <c:pt idx="216">
                  <c:v>263</c:v>
                </c:pt>
                <c:pt idx="217">
                  <c:v>248</c:v>
                </c:pt>
                <c:pt idx="218">
                  <c:v>272</c:v>
                </c:pt>
                <c:pt idx="219">
                  <c:v>322</c:v>
                </c:pt>
                <c:pt idx="220">
                  <c:v>383</c:v>
                </c:pt>
                <c:pt idx="221">
                  <c:v>290</c:v>
                </c:pt>
                <c:pt idx="222">
                  <c:v>445</c:v>
                </c:pt>
                <c:pt idx="223">
                  <c:v>262</c:v>
                </c:pt>
                <c:pt idx="224">
                  <c:v>189</c:v>
                </c:pt>
                <c:pt idx="225">
                  <c:v>485</c:v>
                </c:pt>
                <c:pt idx="226">
                  <c:v>473</c:v>
                </c:pt>
                <c:pt idx="227">
                  <c:v>276</c:v>
                </c:pt>
                <c:pt idx="228">
                  <c:v>235</c:v>
                </c:pt>
                <c:pt idx="229">
                  <c:v>438</c:v>
                </c:pt>
                <c:pt idx="230">
                  <c:v>312</c:v>
                </c:pt>
                <c:pt idx="231">
                  <c:v>204</c:v>
                </c:pt>
                <c:pt idx="232">
                  <c:v>221</c:v>
                </c:pt>
                <c:pt idx="233">
                  <c:v>221</c:v>
                </c:pt>
                <c:pt idx="234">
                  <c:v>351</c:v>
                </c:pt>
                <c:pt idx="235">
                  <c:v>495</c:v>
                </c:pt>
                <c:pt idx="236">
                  <c:v>285</c:v>
                </c:pt>
                <c:pt idx="237">
                  <c:v>113</c:v>
                </c:pt>
                <c:pt idx="238">
                  <c:v>124</c:v>
                </c:pt>
                <c:pt idx="239">
                  <c:v>240</c:v>
                </c:pt>
                <c:pt idx="240">
                  <c:v>348</c:v>
                </c:pt>
                <c:pt idx="241">
                  <c:v>441</c:v>
                </c:pt>
                <c:pt idx="242">
                  <c:v>138</c:v>
                </c:pt>
                <c:pt idx="243">
                  <c:v>391</c:v>
                </c:pt>
                <c:pt idx="244">
                  <c:v>157</c:v>
                </c:pt>
                <c:pt idx="245">
                  <c:v>140</c:v>
                </c:pt>
                <c:pt idx="246">
                  <c:v>319</c:v>
                </c:pt>
                <c:pt idx="247">
                  <c:v>134</c:v>
                </c:pt>
                <c:pt idx="248">
                  <c:v>328</c:v>
                </c:pt>
                <c:pt idx="249">
                  <c:v>472</c:v>
                </c:pt>
              </c:numCache>
            </c:numRef>
          </c:val>
          <c:extLst>
            <c:ext xmlns:c16="http://schemas.microsoft.com/office/drawing/2014/chart" uri="{C3380CC4-5D6E-409C-BE32-E72D297353CC}">
              <c16:uniqueId val="{00000000-B5CA-4198-ACBB-846BE0ECE23D}"/>
            </c:ext>
          </c:extLst>
        </c:ser>
        <c:dLbls>
          <c:showLegendKey val="0"/>
          <c:showVal val="0"/>
          <c:showCatName val="0"/>
          <c:showSerName val="0"/>
          <c:showPercent val="0"/>
          <c:showBubbleSize val="0"/>
        </c:dLbls>
        <c:gapWidth val="219"/>
        <c:overlap val="-27"/>
        <c:axId val="694109888"/>
        <c:axId val="677574864"/>
      </c:barChart>
      <c:catAx>
        <c:axId val="69410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74864"/>
        <c:crosses val="autoZero"/>
        <c:auto val="1"/>
        <c:lblAlgn val="ctr"/>
        <c:lblOffset val="100"/>
        <c:noMultiLvlLbl val="0"/>
      </c:catAx>
      <c:valAx>
        <c:axId val="67757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1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Sheet2!$S$3</c:f>
              <c:strCache>
                <c:ptCount val="1"/>
                <c:pt idx="0">
                  <c:v>Total</c:v>
                </c:pt>
              </c:strCache>
            </c:strRef>
          </c:tx>
          <c:spPr>
            <a:ln w="28575" cap="rnd">
              <a:solidFill>
                <a:schemeClr val="accent1"/>
              </a:solidFill>
              <a:round/>
            </a:ln>
            <a:effectLst/>
          </c:spPr>
          <c:marker>
            <c:symbol val="none"/>
          </c:marker>
          <c:cat>
            <c:strRef>
              <c:f>Sheet2!$R$4:$R$16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Sheet2!$S$4:$S$16</c:f>
              <c:numCache>
                <c:formatCode>General</c:formatCode>
                <c:ptCount val="12"/>
                <c:pt idx="0">
                  <c:v>300.39130434782606</c:v>
                </c:pt>
                <c:pt idx="1">
                  <c:v>349.16666666666669</c:v>
                </c:pt>
                <c:pt idx="2">
                  <c:v>271.47826086956519</c:v>
                </c:pt>
                <c:pt idx="3">
                  <c:v>291.92857142857144</c:v>
                </c:pt>
                <c:pt idx="4">
                  <c:v>299.3478260869565</c:v>
                </c:pt>
                <c:pt idx="5">
                  <c:v>339.2</c:v>
                </c:pt>
                <c:pt idx="6">
                  <c:v>305.92</c:v>
                </c:pt>
                <c:pt idx="7">
                  <c:v>254.3</c:v>
                </c:pt>
                <c:pt idx="8">
                  <c:v>270.05263157894734</c:v>
                </c:pt>
                <c:pt idx="9">
                  <c:v>340.18181818181819</c:v>
                </c:pt>
                <c:pt idx="10">
                  <c:v>287.05263157894734</c:v>
                </c:pt>
                <c:pt idx="11">
                  <c:v>291.27777777777777</c:v>
                </c:pt>
              </c:numCache>
            </c:numRef>
          </c:val>
          <c:smooth val="0"/>
          <c:extLst>
            <c:ext xmlns:c16="http://schemas.microsoft.com/office/drawing/2014/chart" uri="{C3380CC4-5D6E-409C-BE32-E72D297353CC}">
              <c16:uniqueId val="{00000000-305D-44CB-AD52-C6A90FFD43DF}"/>
            </c:ext>
          </c:extLst>
        </c:ser>
        <c:dLbls>
          <c:showLegendKey val="0"/>
          <c:showVal val="0"/>
          <c:showCatName val="0"/>
          <c:showSerName val="0"/>
          <c:showPercent val="0"/>
          <c:showBubbleSize val="0"/>
        </c:dLbls>
        <c:smooth val="0"/>
        <c:axId val="694102000"/>
        <c:axId val="677445744"/>
      </c:lineChart>
      <c:catAx>
        <c:axId val="6941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445744"/>
        <c:crosses val="autoZero"/>
        <c:auto val="1"/>
        <c:lblAlgn val="ctr"/>
        <c:lblOffset val="100"/>
        <c:noMultiLvlLbl val="0"/>
      </c:catAx>
      <c:valAx>
        <c:axId val="67744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10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Sheet2!$V$3</c:f>
              <c:strCache>
                <c:ptCount val="1"/>
                <c:pt idx="0">
                  <c:v>Total</c:v>
                </c:pt>
              </c:strCache>
            </c:strRef>
          </c:tx>
          <c:spPr>
            <a:solidFill>
              <a:schemeClr val="accent1"/>
            </a:solidFill>
            <a:ln>
              <a:noFill/>
            </a:ln>
            <a:effectLst/>
          </c:spPr>
          <c:invertIfNegative val="0"/>
          <c:cat>
            <c:strRef>
              <c:f>Sheet2!$U$4:$U$6</c:f>
              <c:strCache>
                <c:ptCount val="2"/>
                <c:pt idx="0">
                  <c:v>HIGH ENERGY</c:v>
                </c:pt>
                <c:pt idx="1">
                  <c:v>NORMAL ENERGY</c:v>
                </c:pt>
              </c:strCache>
            </c:strRef>
          </c:cat>
          <c:val>
            <c:numRef>
              <c:f>Sheet2!$V$4:$V$6</c:f>
              <c:numCache>
                <c:formatCode>General</c:formatCode>
                <c:ptCount val="2"/>
                <c:pt idx="0">
                  <c:v>25</c:v>
                </c:pt>
                <c:pt idx="1">
                  <c:v>225</c:v>
                </c:pt>
              </c:numCache>
            </c:numRef>
          </c:val>
          <c:extLst>
            <c:ext xmlns:c16="http://schemas.microsoft.com/office/drawing/2014/chart" uri="{C3380CC4-5D6E-409C-BE32-E72D297353CC}">
              <c16:uniqueId val="{00000000-3BFF-4A12-AA85-512EE3ADC25B}"/>
            </c:ext>
          </c:extLst>
        </c:ser>
        <c:dLbls>
          <c:showLegendKey val="0"/>
          <c:showVal val="0"/>
          <c:showCatName val="0"/>
          <c:showSerName val="0"/>
          <c:showPercent val="0"/>
          <c:showBubbleSize val="0"/>
        </c:dLbls>
        <c:gapWidth val="219"/>
        <c:overlap val="-27"/>
        <c:axId val="734149488"/>
        <c:axId val="677577744"/>
      </c:barChart>
      <c:catAx>
        <c:axId val="73414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77744"/>
        <c:crosses val="autoZero"/>
        <c:auto val="1"/>
        <c:lblAlgn val="ctr"/>
        <c:lblOffset val="100"/>
        <c:noMultiLvlLbl val="0"/>
      </c:catAx>
      <c:valAx>
        <c:axId val="6775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Sheet2!$AD$3</c:f>
              <c:strCache>
                <c:ptCount val="1"/>
                <c:pt idx="0">
                  <c:v>Total</c:v>
                </c:pt>
              </c:strCache>
            </c:strRef>
          </c:tx>
          <c:spPr>
            <a:ln w="28575" cap="rnd">
              <a:solidFill>
                <a:schemeClr val="accent1"/>
              </a:solidFill>
              <a:round/>
            </a:ln>
            <a:effectLst/>
          </c:spPr>
          <c:marker>
            <c:symbol val="none"/>
          </c:marker>
          <c:cat>
            <c:strRef>
              <c:f>Sheet2!$AC$4:$AC$16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Sheet2!$AD$4:$AD$16</c:f>
              <c:numCache>
                <c:formatCode>General</c:formatCode>
                <c:ptCount val="12"/>
                <c:pt idx="0">
                  <c:v>133.95652173913044</c:v>
                </c:pt>
                <c:pt idx="1">
                  <c:v>125.75</c:v>
                </c:pt>
                <c:pt idx="2">
                  <c:v>119.95652173913044</c:v>
                </c:pt>
                <c:pt idx="3">
                  <c:v>118.64285714285714</c:v>
                </c:pt>
                <c:pt idx="4">
                  <c:v>125.65217391304348</c:v>
                </c:pt>
                <c:pt idx="5">
                  <c:v>118.55</c:v>
                </c:pt>
                <c:pt idx="6">
                  <c:v>122.04</c:v>
                </c:pt>
                <c:pt idx="7">
                  <c:v>126.25</c:v>
                </c:pt>
                <c:pt idx="8">
                  <c:v>126.21052631578948</c:v>
                </c:pt>
                <c:pt idx="9">
                  <c:v>119.22727272727273</c:v>
                </c:pt>
                <c:pt idx="10">
                  <c:v>111.42105263157895</c:v>
                </c:pt>
                <c:pt idx="11">
                  <c:v>129</c:v>
                </c:pt>
              </c:numCache>
            </c:numRef>
          </c:val>
          <c:smooth val="0"/>
          <c:extLst>
            <c:ext xmlns:c16="http://schemas.microsoft.com/office/drawing/2014/chart" uri="{C3380CC4-5D6E-409C-BE32-E72D297353CC}">
              <c16:uniqueId val="{00000002-2EDF-48DD-9F78-D025C4A01C8E}"/>
            </c:ext>
          </c:extLst>
        </c:ser>
        <c:dLbls>
          <c:showLegendKey val="0"/>
          <c:showVal val="0"/>
          <c:showCatName val="0"/>
          <c:showSerName val="0"/>
          <c:showPercent val="0"/>
          <c:showBubbleSize val="0"/>
        </c:dLbls>
        <c:smooth val="0"/>
        <c:axId val="726335296"/>
        <c:axId val="677511504"/>
      </c:lineChart>
      <c:catAx>
        <c:axId val="7263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11504"/>
        <c:crosses val="autoZero"/>
        <c:auto val="1"/>
        <c:lblAlgn val="ctr"/>
        <c:lblOffset val="100"/>
        <c:noMultiLvlLbl val="0"/>
      </c:catAx>
      <c:valAx>
        <c:axId val="67751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3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solidFill>
                  <a:srgbClr val="FF0000"/>
                </a:solidFill>
              </a:rPr>
              <a:t>Family_size</a:t>
            </a:r>
            <a:r>
              <a:rPr lang="en-IN" sz="1200" baseline="0">
                <a:solidFill>
                  <a:srgbClr val="FF0000"/>
                </a:solidFill>
              </a:rPr>
              <a:t> vs Electricity_usage</a:t>
            </a:r>
            <a:endParaRPr lang="en-IN" sz="1200">
              <a:solidFill>
                <a:srgbClr val="FF0000"/>
              </a:solidFill>
            </a:endParaRPr>
          </a:p>
        </c:rich>
      </c:tx>
      <c:layout>
        <c:manualLayout>
          <c:xMode val="edge"/>
          <c:yMode val="edge"/>
          <c:x val="8.694495815141752E-2"/>
          <c:y val="5.451713395638629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8728457135627"/>
          <c:y val="0.37101422848459731"/>
          <c:w val="0.6729484868608292"/>
          <c:h val="0.29931703273932864"/>
        </c:manualLayout>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Sheet2!$A$4:$A$11</c:f>
              <c:strCache>
                <c:ptCount val="7"/>
                <c:pt idx="0">
                  <c:v>1</c:v>
                </c:pt>
                <c:pt idx="1">
                  <c:v>2</c:v>
                </c:pt>
                <c:pt idx="2">
                  <c:v>3</c:v>
                </c:pt>
                <c:pt idx="3">
                  <c:v>4</c:v>
                </c:pt>
                <c:pt idx="4">
                  <c:v>5</c:v>
                </c:pt>
                <c:pt idx="5">
                  <c:v>6</c:v>
                </c:pt>
                <c:pt idx="6">
                  <c:v>7</c:v>
                </c:pt>
              </c:strCache>
            </c:strRef>
          </c:cat>
          <c:val>
            <c:numRef>
              <c:f>Sheet2!$B$4:$B$11</c:f>
              <c:numCache>
                <c:formatCode>0.0</c:formatCode>
                <c:ptCount val="7"/>
                <c:pt idx="0">
                  <c:v>283.19444444444446</c:v>
                </c:pt>
                <c:pt idx="1">
                  <c:v>309.23333333333335</c:v>
                </c:pt>
                <c:pt idx="2">
                  <c:v>330.625</c:v>
                </c:pt>
                <c:pt idx="3">
                  <c:v>277.44444444444446</c:v>
                </c:pt>
                <c:pt idx="4">
                  <c:v>316.25</c:v>
                </c:pt>
                <c:pt idx="5">
                  <c:v>296.23529411764707</c:v>
                </c:pt>
                <c:pt idx="6">
                  <c:v>307.46341463414632</c:v>
                </c:pt>
              </c:numCache>
            </c:numRef>
          </c:val>
          <c:extLst>
            <c:ext xmlns:c16="http://schemas.microsoft.com/office/drawing/2014/chart" uri="{C3380CC4-5D6E-409C-BE32-E72D297353CC}">
              <c16:uniqueId val="{00000000-59B3-45F8-BBC3-70A7FC185AB9}"/>
            </c:ext>
          </c:extLst>
        </c:ser>
        <c:dLbls>
          <c:dLblPos val="outEnd"/>
          <c:showLegendKey val="0"/>
          <c:showVal val="1"/>
          <c:showCatName val="0"/>
          <c:showSerName val="0"/>
          <c:showPercent val="0"/>
          <c:showBubbleSize val="0"/>
        </c:dLbls>
        <c:gapWidth val="100"/>
        <c:overlap val="-24"/>
        <c:axId val="852488816"/>
        <c:axId val="815164400"/>
      </c:barChart>
      <c:catAx>
        <c:axId val="8524888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164400"/>
        <c:crosses val="autoZero"/>
        <c:auto val="1"/>
        <c:lblAlgn val="ctr"/>
        <c:lblOffset val="100"/>
        <c:noMultiLvlLbl val="0"/>
      </c:catAx>
      <c:valAx>
        <c:axId val="81516440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48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solidFill>
                  <a:schemeClr val="accent6"/>
                </a:solidFill>
                <a:effectLst>
                  <a:outerShdw blurRad="50800" dist="38100" dir="5400000" algn="t" rotWithShape="0">
                    <a:prstClr val="black">
                      <a:alpha val="40000"/>
                    </a:prstClr>
                  </a:outerShdw>
                </a:effectLst>
              </a:rPr>
              <a:t>Appliances_Count vs Electricity_Usage (kWh)</a:t>
            </a:r>
            <a:endParaRPr lang="en-US" sz="1200">
              <a:solidFill>
                <a:schemeClr val="accent6"/>
              </a:solidFill>
            </a:endParaRPr>
          </a:p>
        </c:rich>
      </c:tx>
      <c:layout>
        <c:manualLayout>
          <c:xMode val="edge"/>
          <c:yMode val="edge"/>
          <c:x val="0.13666666666666666"/>
          <c:y val="6.77433093609102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8728457135627"/>
          <c:y val="0.37101422848459731"/>
          <c:w val="0.6729484868608292"/>
          <c:h val="0.29931703273932864"/>
        </c:manualLayout>
      </c:layout>
      <c:barChart>
        <c:barDir val="col"/>
        <c:grouping val="clustered"/>
        <c:varyColors val="0"/>
        <c:ser>
          <c:idx val="0"/>
          <c:order val="0"/>
          <c:tx>
            <c:strRef>
              <c:f>Sheet2!$B$14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Sheet2!$A$15:$A$28</c:f>
              <c:strCache>
                <c:ptCount val="13"/>
                <c:pt idx="0">
                  <c:v>2</c:v>
                </c:pt>
                <c:pt idx="1">
                  <c:v>3</c:v>
                </c:pt>
                <c:pt idx="2">
                  <c:v>4</c:v>
                </c:pt>
                <c:pt idx="3">
                  <c:v>5</c:v>
                </c:pt>
                <c:pt idx="4">
                  <c:v>6</c:v>
                </c:pt>
                <c:pt idx="5">
                  <c:v>7</c:v>
                </c:pt>
                <c:pt idx="6">
                  <c:v>8</c:v>
                </c:pt>
                <c:pt idx="7">
                  <c:v>9</c:v>
                </c:pt>
                <c:pt idx="8">
                  <c:v>10</c:v>
                </c:pt>
                <c:pt idx="9">
                  <c:v>11</c:v>
                </c:pt>
                <c:pt idx="10">
                  <c:v>12</c:v>
                </c:pt>
                <c:pt idx="11">
                  <c:v>13</c:v>
                </c:pt>
                <c:pt idx="12">
                  <c:v>14</c:v>
                </c:pt>
              </c:strCache>
            </c:strRef>
          </c:cat>
          <c:val>
            <c:numRef>
              <c:f>Sheet2!$B$15:$B$28</c:f>
              <c:numCache>
                <c:formatCode>0.0</c:formatCode>
                <c:ptCount val="13"/>
                <c:pt idx="0">
                  <c:v>286.92</c:v>
                </c:pt>
                <c:pt idx="1">
                  <c:v>334.75</c:v>
                </c:pt>
                <c:pt idx="2">
                  <c:v>299.05263157894734</c:v>
                </c:pt>
                <c:pt idx="3">
                  <c:v>303.5263157894737</c:v>
                </c:pt>
                <c:pt idx="4">
                  <c:v>278.33333333333331</c:v>
                </c:pt>
                <c:pt idx="5">
                  <c:v>339.04761904761904</c:v>
                </c:pt>
                <c:pt idx="6">
                  <c:v>285.70588235294116</c:v>
                </c:pt>
                <c:pt idx="7">
                  <c:v>299.19230769230768</c:v>
                </c:pt>
                <c:pt idx="8">
                  <c:v>299.5263157894737</c:v>
                </c:pt>
                <c:pt idx="9">
                  <c:v>307.625</c:v>
                </c:pt>
                <c:pt idx="10">
                  <c:v>304.90909090909093</c:v>
                </c:pt>
                <c:pt idx="11">
                  <c:v>296.71428571428572</c:v>
                </c:pt>
                <c:pt idx="12">
                  <c:v>295.78947368421052</c:v>
                </c:pt>
              </c:numCache>
            </c:numRef>
          </c:val>
          <c:extLst>
            <c:ext xmlns:c16="http://schemas.microsoft.com/office/drawing/2014/chart" uri="{C3380CC4-5D6E-409C-BE32-E72D297353CC}">
              <c16:uniqueId val="{00000002-B7EF-44E6-B0EB-435F87924CFA}"/>
            </c:ext>
          </c:extLst>
        </c:ser>
        <c:dLbls>
          <c:showLegendKey val="0"/>
          <c:showVal val="0"/>
          <c:showCatName val="0"/>
          <c:showSerName val="0"/>
          <c:showPercent val="0"/>
          <c:showBubbleSize val="0"/>
        </c:dLbls>
        <c:gapWidth val="100"/>
        <c:overlap val="-24"/>
        <c:axId val="852488816"/>
        <c:axId val="815164400"/>
      </c:barChart>
      <c:catAx>
        <c:axId val="8524888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164400"/>
        <c:crosses val="autoZero"/>
        <c:auto val="1"/>
        <c:lblAlgn val="ctr"/>
        <c:lblOffset val="100"/>
        <c:noMultiLvlLbl val="0"/>
      </c:catAx>
      <c:valAx>
        <c:axId val="81516440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4888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solidFill>
                  <a:schemeClr val="accent4"/>
                </a:solidFill>
                <a:effectLst>
                  <a:outerShdw blurRad="50800" dist="38100" dir="5400000" algn="t" rotWithShape="0">
                    <a:prstClr val="black">
                      <a:alpha val="40000"/>
                    </a:prstClr>
                  </a:outerShdw>
                </a:effectLst>
              </a:rPr>
              <a:t>Monthly_Income vs </a:t>
            </a:r>
            <a:r>
              <a:rPr lang="en-IN" sz="1200" b="1" i="0" u="none" strike="noStrike" kern="1200" spc="100" baseline="0">
                <a:solidFill>
                  <a:schemeClr val="accent4"/>
                </a:solidFill>
                <a:effectLst>
                  <a:outerShdw blurRad="50800" dist="38100" dir="5400000" algn="t" rotWithShape="0">
                    <a:prstClr val="black">
                      <a:alpha val="40000"/>
                    </a:prstClr>
                  </a:outerShdw>
                </a:effectLst>
              </a:rPr>
              <a:t>Electricity_Usage (kWh)</a:t>
            </a:r>
            <a:r>
              <a:rPr lang="en-IN" sz="1200" b="1" i="0" u="none" strike="noStrike" baseline="0">
                <a:solidFill>
                  <a:schemeClr val="accent4"/>
                </a:solidFill>
                <a:effectLst>
                  <a:outerShdw blurRad="50800" dist="38100" dir="5400000" algn="t" rotWithShape="0">
                    <a:prstClr val="black">
                      <a:alpha val="40000"/>
                    </a:prstClr>
                  </a:outerShdw>
                </a:effectLst>
              </a:rPr>
              <a:t>  </a:t>
            </a:r>
            <a:endParaRPr lang="en-IN" sz="1200">
              <a:solidFill>
                <a:schemeClr val="accent4"/>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8728457135627"/>
          <c:y val="0.37101422848459731"/>
          <c:w val="0.6729484868608292"/>
          <c:h val="0.29931703273932864"/>
        </c:manualLayout>
      </c:layout>
      <c:barChart>
        <c:barDir val="col"/>
        <c:grouping val="clustered"/>
        <c:varyColors val="0"/>
        <c:ser>
          <c:idx val="0"/>
          <c:order val="0"/>
          <c:tx>
            <c:strRef>
              <c:f>Sheet2!$J$3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Sheet2!$I$4:$I$254</c:f>
              <c:strCache>
                <c:ptCount val="250"/>
                <c:pt idx="0">
                  <c:v>20301</c:v>
                </c:pt>
                <c:pt idx="1">
                  <c:v>20854</c:v>
                </c:pt>
                <c:pt idx="2">
                  <c:v>21150</c:v>
                </c:pt>
                <c:pt idx="3">
                  <c:v>21802</c:v>
                </c:pt>
                <c:pt idx="4">
                  <c:v>22049</c:v>
                </c:pt>
                <c:pt idx="5">
                  <c:v>22200</c:v>
                </c:pt>
                <c:pt idx="6">
                  <c:v>22368</c:v>
                </c:pt>
                <c:pt idx="7">
                  <c:v>22557</c:v>
                </c:pt>
                <c:pt idx="8">
                  <c:v>22811</c:v>
                </c:pt>
                <c:pt idx="9">
                  <c:v>22869</c:v>
                </c:pt>
                <c:pt idx="10">
                  <c:v>22911</c:v>
                </c:pt>
                <c:pt idx="11">
                  <c:v>23051</c:v>
                </c:pt>
                <c:pt idx="12">
                  <c:v>23343</c:v>
                </c:pt>
                <c:pt idx="13">
                  <c:v>23420</c:v>
                </c:pt>
                <c:pt idx="14">
                  <c:v>23436</c:v>
                </c:pt>
                <c:pt idx="15">
                  <c:v>23987</c:v>
                </c:pt>
                <c:pt idx="16">
                  <c:v>24014</c:v>
                </c:pt>
                <c:pt idx="17">
                  <c:v>24499</c:v>
                </c:pt>
                <c:pt idx="18">
                  <c:v>25237</c:v>
                </c:pt>
                <c:pt idx="19">
                  <c:v>25539</c:v>
                </c:pt>
                <c:pt idx="20">
                  <c:v>25600</c:v>
                </c:pt>
                <c:pt idx="21">
                  <c:v>25801</c:v>
                </c:pt>
                <c:pt idx="22">
                  <c:v>25895</c:v>
                </c:pt>
                <c:pt idx="23">
                  <c:v>25949</c:v>
                </c:pt>
                <c:pt idx="24">
                  <c:v>26102</c:v>
                </c:pt>
                <c:pt idx="25">
                  <c:v>26295</c:v>
                </c:pt>
                <c:pt idx="26">
                  <c:v>26655</c:v>
                </c:pt>
                <c:pt idx="27">
                  <c:v>26893</c:v>
                </c:pt>
                <c:pt idx="28">
                  <c:v>27392</c:v>
                </c:pt>
                <c:pt idx="29">
                  <c:v>27400</c:v>
                </c:pt>
                <c:pt idx="30">
                  <c:v>27805</c:v>
                </c:pt>
                <c:pt idx="31">
                  <c:v>28155</c:v>
                </c:pt>
                <c:pt idx="32">
                  <c:v>28308</c:v>
                </c:pt>
                <c:pt idx="33">
                  <c:v>28680</c:v>
                </c:pt>
                <c:pt idx="34">
                  <c:v>28716</c:v>
                </c:pt>
                <c:pt idx="35">
                  <c:v>29435</c:v>
                </c:pt>
                <c:pt idx="36">
                  <c:v>29540</c:v>
                </c:pt>
                <c:pt idx="37">
                  <c:v>29662</c:v>
                </c:pt>
                <c:pt idx="38">
                  <c:v>29823</c:v>
                </c:pt>
                <c:pt idx="39">
                  <c:v>30492</c:v>
                </c:pt>
                <c:pt idx="40">
                  <c:v>30647</c:v>
                </c:pt>
                <c:pt idx="41">
                  <c:v>30729</c:v>
                </c:pt>
                <c:pt idx="42">
                  <c:v>30966</c:v>
                </c:pt>
                <c:pt idx="43">
                  <c:v>31093</c:v>
                </c:pt>
                <c:pt idx="44">
                  <c:v>31111</c:v>
                </c:pt>
                <c:pt idx="45">
                  <c:v>31411</c:v>
                </c:pt>
                <c:pt idx="46">
                  <c:v>32183</c:v>
                </c:pt>
                <c:pt idx="47">
                  <c:v>32688</c:v>
                </c:pt>
                <c:pt idx="48">
                  <c:v>32874</c:v>
                </c:pt>
                <c:pt idx="49">
                  <c:v>33284</c:v>
                </c:pt>
                <c:pt idx="50">
                  <c:v>33403</c:v>
                </c:pt>
                <c:pt idx="51">
                  <c:v>33500</c:v>
                </c:pt>
                <c:pt idx="52">
                  <c:v>35151</c:v>
                </c:pt>
                <c:pt idx="53">
                  <c:v>35338</c:v>
                </c:pt>
                <c:pt idx="54">
                  <c:v>35708</c:v>
                </c:pt>
                <c:pt idx="55">
                  <c:v>36371</c:v>
                </c:pt>
                <c:pt idx="56">
                  <c:v>36646</c:v>
                </c:pt>
                <c:pt idx="57">
                  <c:v>36896</c:v>
                </c:pt>
                <c:pt idx="58">
                  <c:v>36964</c:v>
                </c:pt>
                <c:pt idx="59">
                  <c:v>37019</c:v>
                </c:pt>
                <c:pt idx="60">
                  <c:v>37429</c:v>
                </c:pt>
                <c:pt idx="61">
                  <c:v>38070</c:v>
                </c:pt>
                <c:pt idx="62">
                  <c:v>38589</c:v>
                </c:pt>
                <c:pt idx="63">
                  <c:v>38711</c:v>
                </c:pt>
                <c:pt idx="64">
                  <c:v>39190</c:v>
                </c:pt>
                <c:pt idx="65">
                  <c:v>39508</c:v>
                </c:pt>
                <c:pt idx="66">
                  <c:v>39738</c:v>
                </c:pt>
                <c:pt idx="67">
                  <c:v>39830</c:v>
                </c:pt>
                <c:pt idx="68">
                  <c:v>40056</c:v>
                </c:pt>
                <c:pt idx="69">
                  <c:v>40932</c:v>
                </c:pt>
                <c:pt idx="70">
                  <c:v>41357</c:v>
                </c:pt>
                <c:pt idx="71">
                  <c:v>41918</c:v>
                </c:pt>
                <c:pt idx="72">
                  <c:v>42399</c:v>
                </c:pt>
                <c:pt idx="73">
                  <c:v>42671</c:v>
                </c:pt>
                <c:pt idx="74">
                  <c:v>42677</c:v>
                </c:pt>
                <c:pt idx="75">
                  <c:v>43049</c:v>
                </c:pt>
                <c:pt idx="76">
                  <c:v>43093</c:v>
                </c:pt>
                <c:pt idx="77">
                  <c:v>43289</c:v>
                </c:pt>
                <c:pt idx="78">
                  <c:v>43328</c:v>
                </c:pt>
                <c:pt idx="79">
                  <c:v>43664</c:v>
                </c:pt>
                <c:pt idx="80">
                  <c:v>45184</c:v>
                </c:pt>
                <c:pt idx="81">
                  <c:v>45342</c:v>
                </c:pt>
                <c:pt idx="82">
                  <c:v>45945</c:v>
                </c:pt>
                <c:pt idx="83">
                  <c:v>46309</c:v>
                </c:pt>
                <c:pt idx="84">
                  <c:v>46641</c:v>
                </c:pt>
                <c:pt idx="85">
                  <c:v>46646</c:v>
                </c:pt>
                <c:pt idx="86">
                  <c:v>46736</c:v>
                </c:pt>
                <c:pt idx="87">
                  <c:v>47751</c:v>
                </c:pt>
                <c:pt idx="88">
                  <c:v>48251</c:v>
                </c:pt>
                <c:pt idx="89">
                  <c:v>49124</c:v>
                </c:pt>
                <c:pt idx="90">
                  <c:v>49299</c:v>
                </c:pt>
                <c:pt idx="91">
                  <c:v>49375</c:v>
                </c:pt>
                <c:pt idx="92">
                  <c:v>49592</c:v>
                </c:pt>
                <c:pt idx="93">
                  <c:v>49855</c:v>
                </c:pt>
                <c:pt idx="94">
                  <c:v>50306</c:v>
                </c:pt>
                <c:pt idx="95">
                  <c:v>50746</c:v>
                </c:pt>
                <c:pt idx="96">
                  <c:v>51024</c:v>
                </c:pt>
                <c:pt idx="97">
                  <c:v>51616</c:v>
                </c:pt>
                <c:pt idx="98">
                  <c:v>52093</c:v>
                </c:pt>
                <c:pt idx="99">
                  <c:v>52097</c:v>
                </c:pt>
                <c:pt idx="100">
                  <c:v>52217</c:v>
                </c:pt>
                <c:pt idx="101">
                  <c:v>52635</c:v>
                </c:pt>
                <c:pt idx="102">
                  <c:v>52711</c:v>
                </c:pt>
                <c:pt idx="103">
                  <c:v>52745</c:v>
                </c:pt>
                <c:pt idx="104">
                  <c:v>53828</c:v>
                </c:pt>
                <c:pt idx="105">
                  <c:v>54584</c:v>
                </c:pt>
                <c:pt idx="106">
                  <c:v>54698</c:v>
                </c:pt>
                <c:pt idx="107">
                  <c:v>54754</c:v>
                </c:pt>
                <c:pt idx="108">
                  <c:v>55247</c:v>
                </c:pt>
                <c:pt idx="109">
                  <c:v>55777</c:v>
                </c:pt>
                <c:pt idx="110">
                  <c:v>56212</c:v>
                </c:pt>
                <c:pt idx="111">
                  <c:v>56631</c:v>
                </c:pt>
                <c:pt idx="112">
                  <c:v>57157</c:v>
                </c:pt>
                <c:pt idx="113">
                  <c:v>57504</c:v>
                </c:pt>
                <c:pt idx="114">
                  <c:v>58360</c:v>
                </c:pt>
                <c:pt idx="115">
                  <c:v>58467</c:v>
                </c:pt>
                <c:pt idx="116">
                  <c:v>58623</c:v>
                </c:pt>
                <c:pt idx="117">
                  <c:v>59384</c:v>
                </c:pt>
                <c:pt idx="118">
                  <c:v>59734</c:v>
                </c:pt>
                <c:pt idx="119">
                  <c:v>59790</c:v>
                </c:pt>
                <c:pt idx="120">
                  <c:v>60158</c:v>
                </c:pt>
                <c:pt idx="121">
                  <c:v>60764</c:v>
                </c:pt>
                <c:pt idx="122">
                  <c:v>60818</c:v>
                </c:pt>
                <c:pt idx="123">
                  <c:v>61975</c:v>
                </c:pt>
                <c:pt idx="124">
                  <c:v>62107</c:v>
                </c:pt>
                <c:pt idx="125">
                  <c:v>62642</c:v>
                </c:pt>
                <c:pt idx="126">
                  <c:v>63016</c:v>
                </c:pt>
                <c:pt idx="127">
                  <c:v>63484</c:v>
                </c:pt>
                <c:pt idx="128">
                  <c:v>63525</c:v>
                </c:pt>
                <c:pt idx="129">
                  <c:v>63919</c:v>
                </c:pt>
                <c:pt idx="130">
                  <c:v>64064</c:v>
                </c:pt>
                <c:pt idx="131">
                  <c:v>64078</c:v>
                </c:pt>
                <c:pt idx="132">
                  <c:v>65017</c:v>
                </c:pt>
                <c:pt idx="133">
                  <c:v>65236</c:v>
                </c:pt>
                <c:pt idx="134">
                  <c:v>65525</c:v>
                </c:pt>
                <c:pt idx="135">
                  <c:v>65543</c:v>
                </c:pt>
                <c:pt idx="136">
                  <c:v>65714</c:v>
                </c:pt>
                <c:pt idx="137">
                  <c:v>66175</c:v>
                </c:pt>
                <c:pt idx="138">
                  <c:v>66214</c:v>
                </c:pt>
                <c:pt idx="139">
                  <c:v>66717</c:v>
                </c:pt>
                <c:pt idx="140">
                  <c:v>66843</c:v>
                </c:pt>
                <c:pt idx="141">
                  <c:v>66975</c:v>
                </c:pt>
                <c:pt idx="142">
                  <c:v>67202</c:v>
                </c:pt>
                <c:pt idx="143">
                  <c:v>67254</c:v>
                </c:pt>
                <c:pt idx="144">
                  <c:v>67333</c:v>
                </c:pt>
                <c:pt idx="145">
                  <c:v>68354</c:v>
                </c:pt>
                <c:pt idx="146">
                  <c:v>68404</c:v>
                </c:pt>
                <c:pt idx="147">
                  <c:v>68747</c:v>
                </c:pt>
                <c:pt idx="148">
                  <c:v>69377</c:v>
                </c:pt>
                <c:pt idx="149">
                  <c:v>69689</c:v>
                </c:pt>
                <c:pt idx="150">
                  <c:v>69726</c:v>
                </c:pt>
                <c:pt idx="151">
                  <c:v>69811</c:v>
                </c:pt>
                <c:pt idx="152">
                  <c:v>70108</c:v>
                </c:pt>
                <c:pt idx="153">
                  <c:v>70300</c:v>
                </c:pt>
                <c:pt idx="154">
                  <c:v>70336</c:v>
                </c:pt>
                <c:pt idx="155">
                  <c:v>70859</c:v>
                </c:pt>
                <c:pt idx="156">
                  <c:v>70993</c:v>
                </c:pt>
                <c:pt idx="157">
                  <c:v>71293</c:v>
                </c:pt>
                <c:pt idx="158">
                  <c:v>71407</c:v>
                </c:pt>
                <c:pt idx="159">
                  <c:v>71663</c:v>
                </c:pt>
                <c:pt idx="160">
                  <c:v>71885</c:v>
                </c:pt>
                <c:pt idx="161">
                  <c:v>71990</c:v>
                </c:pt>
                <c:pt idx="162">
                  <c:v>72083</c:v>
                </c:pt>
                <c:pt idx="163">
                  <c:v>72662</c:v>
                </c:pt>
                <c:pt idx="164">
                  <c:v>72921</c:v>
                </c:pt>
                <c:pt idx="165">
                  <c:v>73006</c:v>
                </c:pt>
                <c:pt idx="166">
                  <c:v>73222</c:v>
                </c:pt>
                <c:pt idx="167">
                  <c:v>73351</c:v>
                </c:pt>
                <c:pt idx="168">
                  <c:v>74021</c:v>
                </c:pt>
                <c:pt idx="169">
                  <c:v>74045</c:v>
                </c:pt>
                <c:pt idx="170">
                  <c:v>74240</c:v>
                </c:pt>
                <c:pt idx="171">
                  <c:v>74340</c:v>
                </c:pt>
                <c:pt idx="172">
                  <c:v>74748</c:v>
                </c:pt>
                <c:pt idx="173">
                  <c:v>75609</c:v>
                </c:pt>
                <c:pt idx="174">
                  <c:v>75680</c:v>
                </c:pt>
                <c:pt idx="175">
                  <c:v>75766</c:v>
                </c:pt>
                <c:pt idx="176">
                  <c:v>76179</c:v>
                </c:pt>
                <c:pt idx="177">
                  <c:v>76250</c:v>
                </c:pt>
                <c:pt idx="178">
                  <c:v>76491</c:v>
                </c:pt>
                <c:pt idx="179">
                  <c:v>76556</c:v>
                </c:pt>
                <c:pt idx="180">
                  <c:v>76573</c:v>
                </c:pt>
                <c:pt idx="181">
                  <c:v>76661</c:v>
                </c:pt>
                <c:pt idx="182">
                  <c:v>76835</c:v>
                </c:pt>
                <c:pt idx="183">
                  <c:v>76958</c:v>
                </c:pt>
                <c:pt idx="184">
                  <c:v>78335</c:v>
                </c:pt>
                <c:pt idx="185">
                  <c:v>78871</c:v>
                </c:pt>
                <c:pt idx="186">
                  <c:v>79040</c:v>
                </c:pt>
                <c:pt idx="187">
                  <c:v>79101</c:v>
                </c:pt>
                <c:pt idx="188">
                  <c:v>79638</c:v>
                </c:pt>
                <c:pt idx="189">
                  <c:v>80160</c:v>
                </c:pt>
                <c:pt idx="190">
                  <c:v>80403</c:v>
                </c:pt>
                <c:pt idx="191">
                  <c:v>80713</c:v>
                </c:pt>
                <c:pt idx="192">
                  <c:v>81135</c:v>
                </c:pt>
                <c:pt idx="193">
                  <c:v>81267</c:v>
                </c:pt>
                <c:pt idx="194">
                  <c:v>81389</c:v>
                </c:pt>
                <c:pt idx="195">
                  <c:v>81434</c:v>
                </c:pt>
                <c:pt idx="196">
                  <c:v>82752</c:v>
                </c:pt>
                <c:pt idx="197">
                  <c:v>83208</c:v>
                </c:pt>
                <c:pt idx="198">
                  <c:v>83734</c:v>
                </c:pt>
                <c:pt idx="199">
                  <c:v>85318</c:v>
                </c:pt>
                <c:pt idx="200">
                  <c:v>85417</c:v>
                </c:pt>
                <c:pt idx="201">
                  <c:v>85726</c:v>
                </c:pt>
                <c:pt idx="202">
                  <c:v>85733</c:v>
                </c:pt>
                <c:pt idx="203">
                  <c:v>86105</c:v>
                </c:pt>
                <c:pt idx="204">
                  <c:v>86235</c:v>
                </c:pt>
                <c:pt idx="205">
                  <c:v>86320</c:v>
                </c:pt>
                <c:pt idx="206">
                  <c:v>86412</c:v>
                </c:pt>
                <c:pt idx="207">
                  <c:v>86617</c:v>
                </c:pt>
                <c:pt idx="208">
                  <c:v>86690</c:v>
                </c:pt>
                <c:pt idx="209">
                  <c:v>87172</c:v>
                </c:pt>
                <c:pt idx="210">
                  <c:v>87215</c:v>
                </c:pt>
                <c:pt idx="211">
                  <c:v>87270</c:v>
                </c:pt>
                <c:pt idx="212">
                  <c:v>87863</c:v>
                </c:pt>
                <c:pt idx="213">
                  <c:v>88027</c:v>
                </c:pt>
                <c:pt idx="214">
                  <c:v>88385</c:v>
                </c:pt>
                <c:pt idx="215">
                  <c:v>88497</c:v>
                </c:pt>
                <c:pt idx="216">
                  <c:v>89042</c:v>
                </c:pt>
                <c:pt idx="217">
                  <c:v>89678</c:v>
                </c:pt>
                <c:pt idx="218">
                  <c:v>90031</c:v>
                </c:pt>
                <c:pt idx="219">
                  <c:v>90091</c:v>
                </c:pt>
                <c:pt idx="220">
                  <c:v>90271</c:v>
                </c:pt>
                <c:pt idx="221">
                  <c:v>90313</c:v>
                </c:pt>
                <c:pt idx="222">
                  <c:v>90316</c:v>
                </c:pt>
                <c:pt idx="223">
                  <c:v>90467</c:v>
                </c:pt>
                <c:pt idx="224">
                  <c:v>91295</c:v>
                </c:pt>
                <c:pt idx="225">
                  <c:v>92082</c:v>
                </c:pt>
                <c:pt idx="226">
                  <c:v>92615</c:v>
                </c:pt>
                <c:pt idx="227">
                  <c:v>92694</c:v>
                </c:pt>
                <c:pt idx="228">
                  <c:v>92789</c:v>
                </c:pt>
                <c:pt idx="229">
                  <c:v>92991</c:v>
                </c:pt>
                <c:pt idx="230">
                  <c:v>93523</c:v>
                </c:pt>
                <c:pt idx="231">
                  <c:v>93656</c:v>
                </c:pt>
                <c:pt idx="232">
                  <c:v>93666</c:v>
                </c:pt>
                <c:pt idx="233">
                  <c:v>93744</c:v>
                </c:pt>
                <c:pt idx="234">
                  <c:v>93847</c:v>
                </c:pt>
                <c:pt idx="235">
                  <c:v>94290</c:v>
                </c:pt>
                <c:pt idx="236">
                  <c:v>94543</c:v>
                </c:pt>
                <c:pt idx="237">
                  <c:v>94740</c:v>
                </c:pt>
                <c:pt idx="238">
                  <c:v>96213</c:v>
                </c:pt>
                <c:pt idx="239">
                  <c:v>96429</c:v>
                </c:pt>
                <c:pt idx="240">
                  <c:v>97371</c:v>
                </c:pt>
                <c:pt idx="241">
                  <c:v>97505</c:v>
                </c:pt>
                <c:pt idx="242">
                  <c:v>97575</c:v>
                </c:pt>
                <c:pt idx="243">
                  <c:v>98069</c:v>
                </c:pt>
                <c:pt idx="244">
                  <c:v>98657</c:v>
                </c:pt>
                <c:pt idx="245">
                  <c:v>98781</c:v>
                </c:pt>
                <c:pt idx="246">
                  <c:v>98832</c:v>
                </c:pt>
                <c:pt idx="247">
                  <c:v>99605</c:v>
                </c:pt>
                <c:pt idx="248">
                  <c:v>99634</c:v>
                </c:pt>
                <c:pt idx="249">
                  <c:v>99909</c:v>
                </c:pt>
              </c:strCache>
            </c:strRef>
          </c:cat>
          <c:val>
            <c:numRef>
              <c:f>Sheet2!$J$4:$J$254</c:f>
              <c:numCache>
                <c:formatCode>General</c:formatCode>
                <c:ptCount val="250"/>
                <c:pt idx="0">
                  <c:v>500</c:v>
                </c:pt>
                <c:pt idx="1">
                  <c:v>346</c:v>
                </c:pt>
                <c:pt idx="2">
                  <c:v>404</c:v>
                </c:pt>
                <c:pt idx="3">
                  <c:v>189</c:v>
                </c:pt>
                <c:pt idx="4">
                  <c:v>263</c:v>
                </c:pt>
                <c:pt idx="5">
                  <c:v>161</c:v>
                </c:pt>
                <c:pt idx="6">
                  <c:v>118</c:v>
                </c:pt>
                <c:pt idx="7">
                  <c:v>372</c:v>
                </c:pt>
                <c:pt idx="8">
                  <c:v>194</c:v>
                </c:pt>
                <c:pt idx="9">
                  <c:v>496</c:v>
                </c:pt>
                <c:pt idx="10">
                  <c:v>134</c:v>
                </c:pt>
                <c:pt idx="11">
                  <c:v>157</c:v>
                </c:pt>
                <c:pt idx="12">
                  <c:v>429</c:v>
                </c:pt>
                <c:pt idx="13">
                  <c:v>173</c:v>
                </c:pt>
                <c:pt idx="14">
                  <c:v>198</c:v>
                </c:pt>
                <c:pt idx="15">
                  <c:v>495</c:v>
                </c:pt>
                <c:pt idx="16">
                  <c:v>235</c:v>
                </c:pt>
                <c:pt idx="17">
                  <c:v>323</c:v>
                </c:pt>
                <c:pt idx="18">
                  <c:v>473</c:v>
                </c:pt>
                <c:pt idx="19">
                  <c:v>316</c:v>
                </c:pt>
                <c:pt idx="20">
                  <c:v>280</c:v>
                </c:pt>
                <c:pt idx="21">
                  <c:v>351</c:v>
                </c:pt>
                <c:pt idx="22">
                  <c:v>478</c:v>
                </c:pt>
                <c:pt idx="23">
                  <c:v>146</c:v>
                </c:pt>
                <c:pt idx="24">
                  <c:v>267</c:v>
                </c:pt>
                <c:pt idx="25">
                  <c:v>136</c:v>
                </c:pt>
                <c:pt idx="26">
                  <c:v>225</c:v>
                </c:pt>
                <c:pt idx="27">
                  <c:v>243</c:v>
                </c:pt>
                <c:pt idx="28">
                  <c:v>483</c:v>
                </c:pt>
                <c:pt idx="29">
                  <c:v>135</c:v>
                </c:pt>
                <c:pt idx="30">
                  <c:v>153</c:v>
                </c:pt>
                <c:pt idx="31">
                  <c:v>214</c:v>
                </c:pt>
                <c:pt idx="32">
                  <c:v>119</c:v>
                </c:pt>
                <c:pt idx="33">
                  <c:v>436</c:v>
                </c:pt>
                <c:pt idx="34">
                  <c:v>301</c:v>
                </c:pt>
                <c:pt idx="35">
                  <c:v>415</c:v>
                </c:pt>
                <c:pt idx="36">
                  <c:v>109</c:v>
                </c:pt>
                <c:pt idx="37">
                  <c:v>255</c:v>
                </c:pt>
                <c:pt idx="38">
                  <c:v>355</c:v>
                </c:pt>
                <c:pt idx="39">
                  <c:v>240</c:v>
                </c:pt>
                <c:pt idx="40">
                  <c:v>190</c:v>
                </c:pt>
                <c:pt idx="41">
                  <c:v>426</c:v>
                </c:pt>
                <c:pt idx="42">
                  <c:v>247</c:v>
                </c:pt>
                <c:pt idx="43">
                  <c:v>464</c:v>
                </c:pt>
                <c:pt idx="44">
                  <c:v>363</c:v>
                </c:pt>
                <c:pt idx="45">
                  <c:v>341</c:v>
                </c:pt>
                <c:pt idx="46">
                  <c:v>468</c:v>
                </c:pt>
                <c:pt idx="47">
                  <c:v>132</c:v>
                </c:pt>
                <c:pt idx="48">
                  <c:v>112</c:v>
                </c:pt>
                <c:pt idx="49">
                  <c:v>189</c:v>
                </c:pt>
                <c:pt idx="50">
                  <c:v>319</c:v>
                </c:pt>
                <c:pt idx="51">
                  <c:v>323</c:v>
                </c:pt>
                <c:pt idx="52">
                  <c:v>251</c:v>
                </c:pt>
                <c:pt idx="53">
                  <c:v>411</c:v>
                </c:pt>
                <c:pt idx="54">
                  <c:v>496</c:v>
                </c:pt>
                <c:pt idx="55">
                  <c:v>376</c:v>
                </c:pt>
                <c:pt idx="56">
                  <c:v>475</c:v>
                </c:pt>
                <c:pt idx="57">
                  <c:v>100</c:v>
                </c:pt>
                <c:pt idx="58">
                  <c:v>472</c:v>
                </c:pt>
                <c:pt idx="59">
                  <c:v>302</c:v>
                </c:pt>
                <c:pt idx="60">
                  <c:v>466</c:v>
                </c:pt>
                <c:pt idx="61">
                  <c:v>420</c:v>
                </c:pt>
                <c:pt idx="62">
                  <c:v>262</c:v>
                </c:pt>
                <c:pt idx="63">
                  <c:v>108</c:v>
                </c:pt>
                <c:pt idx="64">
                  <c:v>374</c:v>
                </c:pt>
                <c:pt idx="65">
                  <c:v>233</c:v>
                </c:pt>
                <c:pt idx="66">
                  <c:v>152</c:v>
                </c:pt>
                <c:pt idx="67">
                  <c:v>438</c:v>
                </c:pt>
                <c:pt idx="68">
                  <c:v>358</c:v>
                </c:pt>
                <c:pt idx="69">
                  <c:v>456</c:v>
                </c:pt>
                <c:pt idx="70">
                  <c:v>316</c:v>
                </c:pt>
                <c:pt idx="71">
                  <c:v>413</c:v>
                </c:pt>
                <c:pt idx="72">
                  <c:v>175</c:v>
                </c:pt>
                <c:pt idx="73">
                  <c:v>429</c:v>
                </c:pt>
                <c:pt idx="74">
                  <c:v>100</c:v>
                </c:pt>
                <c:pt idx="75">
                  <c:v>145</c:v>
                </c:pt>
                <c:pt idx="76">
                  <c:v>293</c:v>
                </c:pt>
                <c:pt idx="77">
                  <c:v>470</c:v>
                </c:pt>
                <c:pt idx="78">
                  <c:v>199</c:v>
                </c:pt>
                <c:pt idx="79">
                  <c:v>115</c:v>
                </c:pt>
                <c:pt idx="80">
                  <c:v>142</c:v>
                </c:pt>
                <c:pt idx="81">
                  <c:v>278</c:v>
                </c:pt>
                <c:pt idx="82">
                  <c:v>326</c:v>
                </c:pt>
                <c:pt idx="83">
                  <c:v>495</c:v>
                </c:pt>
                <c:pt idx="84">
                  <c:v>492</c:v>
                </c:pt>
                <c:pt idx="85">
                  <c:v>496</c:v>
                </c:pt>
                <c:pt idx="86">
                  <c:v>435</c:v>
                </c:pt>
                <c:pt idx="87">
                  <c:v>231</c:v>
                </c:pt>
                <c:pt idx="88">
                  <c:v>263</c:v>
                </c:pt>
                <c:pt idx="89">
                  <c:v>291</c:v>
                </c:pt>
                <c:pt idx="90">
                  <c:v>282</c:v>
                </c:pt>
                <c:pt idx="91">
                  <c:v>457</c:v>
                </c:pt>
                <c:pt idx="92">
                  <c:v>266</c:v>
                </c:pt>
                <c:pt idx="93">
                  <c:v>291</c:v>
                </c:pt>
                <c:pt idx="94">
                  <c:v>174</c:v>
                </c:pt>
                <c:pt idx="95">
                  <c:v>250</c:v>
                </c:pt>
                <c:pt idx="96">
                  <c:v>289</c:v>
                </c:pt>
                <c:pt idx="97">
                  <c:v>493</c:v>
                </c:pt>
                <c:pt idx="98">
                  <c:v>402</c:v>
                </c:pt>
                <c:pt idx="99">
                  <c:v>225</c:v>
                </c:pt>
                <c:pt idx="100">
                  <c:v>246</c:v>
                </c:pt>
                <c:pt idx="101">
                  <c:v>245</c:v>
                </c:pt>
                <c:pt idx="102">
                  <c:v>378</c:v>
                </c:pt>
                <c:pt idx="103">
                  <c:v>221</c:v>
                </c:pt>
                <c:pt idx="104">
                  <c:v>175</c:v>
                </c:pt>
                <c:pt idx="105">
                  <c:v>382</c:v>
                </c:pt>
                <c:pt idx="106">
                  <c:v>267</c:v>
                </c:pt>
                <c:pt idx="107">
                  <c:v>352</c:v>
                </c:pt>
                <c:pt idx="108">
                  <c:v>300</c:v>
                </c:pt>
                <c:pt idx="109">
                  <c:v>441</c:v>
                </c:pt>
                <c:pt idx="110">
                  <c:v>320</c:v>
                </c:pt>
                <c:pt idx="111">
                  <c:v>264</c:v>
                </c:pt>
                <c:pt idx="112">
                  <c:v>200</c:v>
                </c:pt>
                <c:pt idx="113">
                  <c:v>192</c:v>
                </c:pt>
                <c:pt idx="114">
                  <c:v>468</c:v>
                </c:pt>
                <c:pt idx="115">
                  <c:v>276</c:v>
                </c:pt>
                <c:pt idx="116">
                  <c:v>357</c:v>
                </c:pt>
                <c:pt idx="117">
                  <c:v>490</c:v>
                </c:pt>
                <c:pt idx="118">
                  <c:v>179</c:v>
                </c:pt>
                <c:pt idx="119">
                  <c:v>208</c:v>
                </c:pt>
                <c:pt idx="120">
                  <c:v>489</c:v>
                </c:pt>
                <c:pt idx="121">
                  <c:v>141</c:v>
                </c:pt>
                <c:pt idx="122">
                  <c:v>483</c:v>
                </c:pt>
                <c:pt idx="123">
                  <c:v>402</c:v>
                </c:pt>
                <c:pt idx="124">
                  <c:v>143</c:v>
                </c:pt>
                <c:pt idx="125">
                  <c:v>195</c:v>
                </c:pt>
                <c:pt idx="126">
                  <c:v>198</c:v>
                </c:pt>
                <c:pt idx="127">
                  <c:v>314</c:v>
                </c:pt>
                <c:pt idx="128">
                  <c:v>334</c:v>
                </c:pt>
                <c:pt idx="129">
                  <c:v>244</c:v>
                </c:pt>
                <c:pt idx="130">
                  <c:v>305</c:v>
                </c:pt>
                <c:pt idx="131">
                  <c:v>127</c:v>
                </c:pt>
                <c:pt idx="132">
                  <c:v>316</c:v>
                </c:pt>
                <c:pt idx="133">
                  <c:v>352</c:v>
                </c:pt>
                <c:pt idx="134">
                  <c:v>151</c:v>
                </c:pt>
                <c:pt idx="135">
                  <c:v>243</c:v>
                </c:pt>
                <c:pt idx="136">
                  <c:v>497</c:v>
                </c:pt>
                <c:pt idx="137">
                  <c:v>472</c:v>
                </c:pt>
                <c:pt idx="138">
                  <c:v>364</c:v>
                </c:pt>
                <c:pt idx="139">
                  <c:v>439</c:v>
                </c:pt>
                <c:pt idx="140">
                  <c:v>316</c:v>
                </c:pt>
                <c:pt idx="141">
                  <c:v>467</c:v>
                </c:pt>
                <c:pt idx="142">
                  <c:v>430</c:v>
                </c:pt>
                <c:pt idx="143">
                  <c:v>295</c:v>
                </c:pt>
                <c:pt idx="144">
                  <c:v>168</c:v>
                </c:pt>
                <c:pt idx="145">
                  <c:v>385</c:v>
                </c:pt>
                <c:pt idx="146">
                  <c:v>156</c:v>
                </c:pt>
                <c:pt idx="147">
                  <c:v>143</c:v>
                </c:pt>
                <c:pt idx="148">
                  <c:v>243</c:v>
                </c:pt>
                <c:pt idx="149">
                  <c:v>463</c:v>
                </c:pt>
                <c:pt idx="150">
                  <c:v>482</c:v>
                </c:pt>
                <c:pt idx="151">
                  <c:v>111</c:v>
                </c:pt>
                <c:pt idx="152">
                  <c:v>118</c:v>
                </c:pt>
                <c:pt idx="153">
                  <c:v>460</c:v>
                </c:pt>
                <c:pt idx="154">
                  <c:v>269</c:v>
                </c:pt>
                <c:pt idx="155">
                  <c:v>251</c:v>
                </c:pt>
                <c:pt idx="156">
                  <c:v>281</c:v>
                </c:pt>
                <c:pt idx="157">
                  <c:v>456</c:v>
                </c:pt>
                <c:pt idx="158">
                  <c:v>250</c:v>
                </c:pt>
                <c:pt idx="159">
                  <c:v>384</c:v>
                </c:pt>
                <c:pt idx="160">
                  <c:v>128</c:v>
                </c:pt>
                <c:pt idx="161">
                  <c:v>332</c:v>
                </c:pt>
                <c:pt idx="162">
                  <c:v>422</c:v>
                </c:pt>
                <c:pt idx="163">
                  <c:v>479</c:v>
                </c:pt>
                <c:pt idx="164">
                  <c:v>416</c:v>
                </c:pt>
                <c:pt idx="165">
                  <c:v>468</c:v>
                </c:pt>
                <c:pt idx="166">
                  <c:v>371</c:v>
                </c:pt>
                <c:pt idx="167">
                  <c:v>454</c:v>
                </c:pt>
                <c:pt idx="168">
                  <c:v>272</c:v>
                </c:pt>
                <c:pt idx="169">
                  <c:v>138</c:v>
                </c:pt>
                <c:pt idx="170">
                  <c:v>106</c:v>
                </c:pt>
                <c:pt idx="171">
                  <c:v>277</c:v>
                </c:pt>
                <c:pt idx="172">
                  <c:v>169</c:v>
                </c:pt>
                <c:pt idx="173">
                  <c:v>486</c:v>
                </c:pt>
                <c:pt idx="174">
                  <c:v>259</c:v>
                </c:pt>
                <c:pt idx="175">
                  <c:v>341</c:v>
                </c:pt>
                <c:pt idx="176">
                  <c:v>416</c:v>
                </c:pt>
                <c:pt idx="177">
                  <c:v>401</c:v>
                </c:pt>
                <c:pt idx="178">
                  <c:v>232</c:v>
                </c:pt>
                <c:pt idx="179">
                  <c:v>111</c:v>
                </c:pt>
                <c:pt idx="180">
                  <c:v>319</c:v>
                </c:pt>
                <c:pt idx="181">
                  <c:v>447</c:v>
                </c:pt>
                <c:pt idx="182">
                  <c:v>322</c:v>
                </c:pt>
                <c:pt idx="183">
                  <c:v>244</c:v>
                </c:pt>
                <c:pt idx="184">
                  <c:v>272</c:v>
                </c:pt>
                <c:pt idx="185">
                  <c:v>332</c:v>
                </c:pt>
                <c:pt idx="186">
                  <c:v>367</c:v>
                </c:pt>
                <c:pt idx="187">
                  <c:v>339</c:v>
                </c:pt>
                <c:pt idx="188">
                  <c:v>107</c:v>
                </c:pt>
                <c:pt idx="189">
                  <c:v>296</c:v>
                </c:pt>
                <c:pt idx="190">
                  <c:v>327</c:v>
                </c:pt>
                <c:pt idx="191">
                  <c:v>213</c:v>
                </c:pt>
                <c:pt idx="192">
                  <c:v>286</c:v>
                </c:pt>
                <c:pt idx="193">
                  <c:v>460</c:v>
                </c:pt>
                <c:pt idx="194">
                  <c:v>285</c:v>
                </c:pt>
                <c:pt idx="195">
                  <c:v>326</c:v>
                </c:pt>
                <c:pt idx="196">
                  <c:v>311</c:v>
                </c:pt>
                <c:pt idx="197">
                  <c:v>338</c:v>
                </c:pt>
                <c:pt idx="198">
                  <c:v>277</c:v>
                </c:pt>
                <c:pt idx="199">
                  <c:v>103</c:v>
                </c:pt>
                <c:pt idx="200">
                  <c:v>181</c:v>
                </c:pt>
                <c:pt idx="201">
                  <c:v>273</c:v>
                </c:pt>
                <c:pt idx="202">
                  <c:v>164</c:v>
                </c:pt>
                <c:pt idx="203">
                  <c:v>104</c:v>
                </c:pt>
                <c:pt idx="204">
                  <c:v>329</c:v>
                </c:pt>
                <c:pt idx="205">
                  <c:v>400</c:v>
                </c:pt>
                <c:pt idx="206">
                  <c:v>259</c:v>
                </c:pt>
                <c:pt idx="207">
                  <c:v>242</c:v>
                </c:pt>
                <c:pt idx="208">
                  <c:v>289</c:v>
                </c:pt>
                <c:pt idx="209">
                  <c:v>379</c:v>
                </c:pt>
                <c:pt idx="210">
                  <c:v>447</c:v>
                </c:pt>
                <c:pt idx="211">
                  <c:v>314</c:v>
                </c:pt>
                <c:pt idx="212">
                  <c:v>367</c:v>
                </c:pt>
                <c:pt idx="213">
                  <c:v>216</c:v>
                </c:pt>
                <c:pt idx="214">
                  <c:v>352</c:v>
                </c:pt>
                <c:pt idx="215">
                  <c:v>183</c:v>
                </c:pt>
                <c:pt idx="216">
                  <c:v>263</c:v>
                </c:pt>
                <c:pt idx="217">
                  <c:v>248</c:v>
                </c:pt>
                <c:pt idx="218">
                  <c:v>272</c:v>
                </c:pt>
                <c:pt idx="219">
                  <c:v>322</c:v>
                </c:pt>
                <c:pt idx="220">
                  <c:v>383</c:v>
                </c:pt>
                <c:pt idx="221">
                  <c:v>290</c:v>
                </c:pt>
                <c:pt idx="222">
                  <c:v>445</c:v>
                </c:pt>
                <c:pt idx="223">
                  <c:v>262</c:v>
                </c:pt>
                <c:pt idx="224">
                  <c:v>189</c:v>
                </c:pt>
                <c:pt idx="225">
                  <c:v>485</c:v>
                </c:pt>
                <c:pt idx="226">
                  <c:v>473</c:v>
                </c:pt>
                <c:pt idx="227">
                  <c:v>276</c:v>
                </c:pt>
                <c:pt idx="228">
                  <c:v>235</c:v>
                </c:pt>
                <c:pt idx="229">
                  <c:v>438</c:v>
                </c:pt>
                <c:pt idx="230">
                  <c:v>312</c:v>
                </c:pt>
                <c:pt idx="231">
                  <c:v>204</c:v>
                </c:pt>
                <c:pt idx="232">
                  <c:v>221</c:v>
                </c:pt>
                <c:pt idx="233">
                  <c:v>221</c:v>
                </c:pt>
                <c:pt idx="234">
                  <c:v>351</c:v>
                </c:pt>
                <c:pt idx="235">
                  <c:v>495</c:v>
                </c:pt>
                <c:pt idx="236">
                  <c:v>285</c:v>
                </c:pt>
                <c:pt idx="237">
                  <c:v>113</c:v>
                </c:pt>
                <c:pt idx="238">
                  <c:v>124</c:v>
                </c:pt>
                <c:pt idx="239">
                  <c:v>240</c:v>
                </c:pt>
                <c:pt idx="240">
                  <c:v>348</c:v>
                </c:pt>
                <c:pt idx="241">
                  <c:v>441</c:v>
                </c:pt>
                <c:pt idx="242">
                  <c:v>138</c:v>
                </c:pt>
                <c:pt idx="243">
                  <c:v>391</c:v>
                </c:pt>
                <c:pt idx="244">
                  <c:v>157</c:v>
                </c:pt>
                <c:pt idx="245">
                  <c:v>140</c:v>
                </c:pt>
                <c:pt idx="246">
                  <c:v>319</c:v>
                </c:pt>
                <c:pt idx="247">
                  <c:v>134</c:v>
                </c:pt>
                <c:pt idx="248">
                  <c:v>328</c:v>
                </c:pt>
                <c:pt idx="249">
                  <c:v>472</c:v>
                </c:pt>
              </c:numCache>
            </c:numRef>
          </c:val>
          <c:extLst>
            <c:ext xmlns:c16="http://schemas.microsoft.com/office/drawing/2014/chart" uri="{C3380CC4-5D6E-409C-BE32-E72D297353CC}">
              <c16:uniqueId val="{00000002-8789-4DD4-96D5-584380A391E3}"/>
            </c:ext>
          </c:extLst>
        </c:ser>
        <c:dLbls>
          <c:showLegendKey val="0"/>
          <c:showVal val="0"/>
          <c:showCatName val="0"/>
          <c:showSerName val="0"/>
          <c:showPercent val="0"/>
          <c:showBubbleSize val="0"/>
        </c:dLbls>
        <c:gapWidth val="100"/>
        <c:overlap val="-24"/>
        <c:axId val="852488816"/>
        <c:axId val="815164400"/>
      </c:barChart>
      <c:catAx>
        <c:axId val="8524888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164400"/>
        <c:crosses val="autoZero"/>
        <c:auto val="1"/>
        <c:lblAlgn val="ctr"/>
        <c:lblOffset val="100"/>
        <c:noMultiLvlLbl val="0"/>
      </c:catAx>
      <c:valAx>
        <c:axId val="815164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4888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rgbClr val="00B0F0"/>
                </a:solidFill>
              </a:rPr>
              <a:t>Month</a:t>
            </a:r>
            <a:r>
              <a:rPr lang="en-US" sz="1200" baseline="0">
                <a:solidFill>
                  <a:srgbClr val="00B0F0"/>
                </a:solidFill>
              </a:rPr>
              <a:t> vs </a:t>
            </a:r>
            <a:r>
              <a:rPr lang="en-IN" sz="1200" b="1" i="0" u="none" strike="noStrike" kern="1200" spc="100" baseline="0">
                <a:solidFill>
                  <a:srgbClr val="00B0F0"/>
                </a:solidFill>
                <a:effectLst>
                  <a:outerShdw blurRad="50800" dist="38100" dir="5400000" algn="t" rotWithShape="0">
                    <a:prstClr val="black">
                      <a:alpha val="40000"/>
                    </a:prstClr>
                  </a:outerShdw>
                </a:effectLst>
              </a:rPr>
              <a:t>Electricity_usage</a:t>
            </a:r>
            <a:r>
              <a:rPr lang="en-US" sz="1200" baseline="0">
                <a:solidFill>
                  <a:srgbClr val="00B0F0"/>
                </a:solidFill>
              </a:rPr>
              <a:t> </a:t>
            </a:r>
            <a:endParaRPr lang="en-US" sz="1200">
              <a:solidFill>
                <a:srgbClr val="00B0F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8728457135627"/>
          <c:y val="0.37101422848459731"/>
          <c:w val="0.6729484868608292"/>
          <c:h val="0.29931703273932864"/>
        </c:manualLayout>
      </c:layout>
      <c:lineChart>
        <c:grouping val="standard"/>
        <c:varyColors val="0"/>
        <c:ser>
          <c:idx val="0"/>
          <c:order val="0"/>
          <c:tx>
            <c:strRef>
              <c:f>Sheet2!$S$3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Sheet2!$R$4:$R$16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Sheet2!$S$4:$S$16</c:f>
              <c:numCache>
                <c:formatCode>General</c:formatCode>
                <c:ptCount val="12"/>
                <c:pt idx="0">
                  <c:v>300.39130434782606</c:v>
                </c:pt>
                <c:pt idx="1">
                  <c:v>349.16666666666669</c:v>
                </c:pt>
                <c:pt idx="2">
                  <c:v>271.47826086956519</c:v>
                </c:pt>
                <c:pt idx="3">
                  <c:v>291.92857142857144</c:v>
                </c:pt>
                <c:pt idx="4">
                  <c:v>299.3478260869565</c:v>
                </c:pt>
                <c:pt idx="5">
                  <c:v>339.2</c:v>
                </c:pt>
                <c:pt idx="6">
                  <c:v>305.92</c:v>
                </c:pt>
                <c:pt idx="7">
                  <c:v>254.3</c:v>
                </c:pt>
                <c:pt idx="8">
                  <c:v>270.05263157894734</c:v>
                </c:pt>
                <c:pt idx="9">
                  <c:v>340.18181818181819</c:v>
                </c:pt>
                <c:pt idx="10">
                  <c:v>287.05263157894734</c:v>
                </c:pt>
                <c:pt idx="11">
                  <c:v>291.27777777777777</c:v>
                </c:pt>
              </c:numCache>
            </c:numRef>
          </c:val>
          <c:smooth val="0"/>
          <c:extLst>
            <c:ext xmlns:c16="http://schemas.microsoft.com/office/drawing/2014/chart" uri="{C3380CC4-5D6E-409C-BE32-E72D297353CC}">
              <c16:uniqueId val="{00000002-9983-472E-9040-4BCAA25333A3}"/>
            </c:ext>
          </c:extLst>
        </c:ser>
        <c:dLbls>
          <c:showLegendKey val="0"/>
          <c:showVal val="0"/>
          <c:showCatName val="0"/>
          <c:showSerName val="0"/>
          <c:showPercent val="0"/>
          <c:showBubbleSize val="0"/>
        </c:dLbls>
        <c:smooth val="0"/>
        <c:axId val="852488816"/>
        <c:axId val="815164400"/>
      </c:lineChart>
      <c:catAx>
        <c:axId val="8524888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164400"/>
        <c:crosses val="autoZero"/>
        <c:auto val="1"/>
        <c:lblAlgn val="ctr"/>
        <c:lblOffset val="100"/>
        <c:noMultiLvlLbl val="0"/>
      </c:catAx>
      <c:valAx>
        <c:axId val="815164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4888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solidFill>
                  <a:schemeClr val="bg1">
                    <a:lumMod val="95000"/>
                  </a:schemeClr>
                </a:solidFill>
                <a:effectLst>
                  <a:outerShdw blurRad="50800" dist="38100" dir="5400000" algn="t" rotWithShape="0">
                    <a:prstClr val="black">
                      <a:alpha val="40000"/>
                    </a:prstClr>
                  </a:outerShdw>
                </a:effectLst>
              </a:rPr>
              <a:t>Household_ID vs Energy_Category</a:t>
            </a:r>
            <a:endParaRPr lang="en-IN" sz="1200">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8728457135627"/>
          <c:y val="0.37101422848459731"/>
          <c:w val="0.6729484868608292"/>
          <c:h val="0.29931703273932864"/>
        </c:manualLayout>
      </c:layout>
      <c:barChart>
        <c:barDir val="col"/>
        <c:grouping val="clustered"/>
        <c:varyColors val="0"/>
        <c:ser>
          <c:idx val="0"/>
          <c:order val="0"/>
          <c:tx>
            <c:strRef>
              <c:f>Sheet2!$V$3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Sheet2!$U$4:$U$6</c:f>
              <c:strCache>
                <c:ptCount val="2"/>
                <c:pt idx="0">
                  <c:v>HIGH ENERGY</c:v>
                </c:pt>
                <c:pt idx="1">
                  <c:v>NORMAL ENERGY</c:v>
                </c:pt>
              </c:strCache>
            </c:strRef>
          </c:cat>
          <c:val>
            <c:numRef>
              <c:f>Sheet2!$V$4:$V$6</c:f>
              <c:numCache>
                <c:formatCode>General</c:formatCode>
                <c:ptCount val="2"/>
                <c:pt idx="0">
                  <c:v>25</c:v>
                </c:pt>
                <c:pt idx="1">
                  <c:v>225</c:v>
                </c:pt>
              </c:numCache>
            </c:numRef>
          </c:val>
          <c:extLst>
            <c:ext xmlns:c16="http://schemas.microsoft.com/office/drawing/2014/chart" uri="{C3380CC4-5D6E-409C-BE32-E72D297353CC}">
              <c16:uniqueId val="{00000002-2CB3-4CDC-A136-A3786C6764C5}"/>
            </c:ext>
          </c:extLst>
        </c:ser>
        <c:dLbls>
          <c:dLblPos val="outEnd"/>
          <c:showLegendKey val="0"/>
          <c:showVal val="1"/>
          <c:showCatName val="0"/>
          <c:showSerName val="0"/>
          <c:showPercent val="0"/>
          <c:showBubbleSize val="0"/>
        </c:dLbls>
        <c:gapWidth val="100"/>
        <c:overlap val="-24"/>
        <c:axId val="852488816"/>
        <c:axId val="815164400"/>
      </c:barChart>
      <c:catAx>
        <c:axId val="8524888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164400"/>
        <c:crosses val="autoZero"/>
        <c:auto val="1"/>
        <c:lblAlgn val="ctr"/>
        <c:lblOffset val="100"/>
        <c:noMultiLvlLbl val="0"/>
      </c:catAx>
      <c:valAx>
        <c:axId val="815164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4888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 analysis.xlsx]Sheet2!PivotTable6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solidFill>
                  <a:schemeClr val="accent2">
                    <a:lumMod val="75000"/>
                  </a:schemeClr>
                </a:solidFill>
              </a:rPr>
              <a:t>Month</a:t>
            </a:r>
            <a:r>
              <a:rPr lang="en-IN" sz="1200" baseline="0">
                <a:solidFill>
                  <a:schemeClr val="accent2">
                    <a:lumMod val="75000"/>
                  </a:schemeClr>
                </a:solidFill>
              </a:rPr>
              <a:t> vs Gas_Usage</a:t>
            </a:r>
            <a:endParaRPr lang="en-IN" sz="1200">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8728457135627"/>
          <c:y val="0.37101422848459731"/>
          <c:w val="0.6729484868608292"/>
          <c:h val="0.29931703273932864"/>
        </c:manualLayout>
      </c:layout>
      <c:lineChart>
        <c:grouping val="standard"/>
        <c:varyColors val="0"/>
        <c:ser>
          <c:idx val="0"/>
          <c:order val="0"/>
          <c:tx>
            <c:strRef>
              <c:f>Sheet2!$AD$3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Sheet2!$AC$4:$AC$16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Sheet2!$AD$4:$AD$16</c:f>
              <c:numCache>
                <c:formatCode>General</c:formatCode>
                <c:ptCount val="12"/>
                <c:pt idx="0">
                  <c:v>133.95652173913044</c:v>
                </c:pt>
                <c:pt idx="1">
                  <c:v>125.75</c:v>
                </c:pt>
                <c:pt idx="2">
                  <c:v>119.95652173913044</c:v>
                </c:pt>
                <c:pt idx="3">
                  <c:v>118.64285714285714</c:v>
                </c:pt>
                <c:pt idx="4">
                  <c:v>125.65217391304348</c:v>
                </c:pt>
                <c:pt idx="5">
                  <c:v>118.55</c:v>
                </c:pt>
                <c:pt idx="6">
                  <c:v>122.04</c:v>
                </c:pt>
                <c:pt idx="7">
                  <c:v>126.25</c:v>
                </c:pt>
                <c:pt idx="8">
                  <c:v>126.21052631578948</c:v>
                </c:pt>
                <c:pt idx="9">
                  <c:v>119.22727272727273</c:v>
                </c:pt>
                <c:pt idx="10">
                  <c:v>111.42105263157895</c:v>
                </c:pt>
                <c:pt idx="11">
                  <c:v>129</c:v>
                </c:pt>
              </c:numCache>
            </c:numRef>
          </c:val>
          <c:smooth val="0"/>
          <c:extLst>
            <c:ext xmlns:c16="http://schemas.microsoft.com/office/drawing/2014/chart" uri="{C3380CC4-5D6E-409C-BE32-E72D297353CC}">
              <c16:uniqueId val="{00000003-D1BA-4C8F-910C-258D58CD72BC}"/>
            </c:ext>
          </c:extLst>
        </c:ser>
        <c:dLbls>
          <c:showLegendKey val="0"/>
          <c:showVal val="0"/>
          <c:showCatName val="0"/>
          <c:showSerName val="0"/>
          <c:showPercent val="0"/>
          <c:showBubbleSize val="0"/>
        </c:dLbls>
        <c:smooth val="0"/>
        <c:axId val="852488816"/>
        <c:axId val="815164400"/>
      </c:lineChart>
      <c:catAx>
        <c:axId val="8524888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164400"/>
        <c:crosses val="autoZero"/>
        <c:auto val="1"/>
        <c:lblAlgn val="ctr"/>
        <c:lblOffset val="100"/>
        <c:noMultiLvlLbl val="0"/>
      </c:catAx>
      <c:valAx>
        <c:axId val="815164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4888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297180</xdr:colOff>
      <xdr:row>1</xdr:row>
      <xdr:rowOff>95250</xdr:rowOff>
    </xdr:from>
    <xdr:to>
      <xdr:col>7</xdr:col>
      <xdr:colOff>411480</xdr:colOff>
      <xdr:row>11</xdr:row>
      <xdr:rowOff>76200</xdr:rowOff>
    </xdr:to>
    <xdr:graphicFrame macro="">
      <xdr:nvGraphicFramePr>
        <xdr:cNvPr id="2" name="Chart 1">
          <a:extLst>
            <a:ext uri="{FF2B5EF4-FFF2-40B4-BE49-F238E27FC236}">
              <a16:creationId xmlns:a16="http://schemas.microsoft.com/office/drawing/2014/main" id="{61BD5A70-650D-0602-27E4-85C34FDEE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533400</xdr:colOff>
      <xdr:row>13</xdr:row>
      <xdr:rowOff>110490</xdr:rowOff>
    </xdr:from>
    <xdr:to>
      <xdr:col>7</xdr:col>
      <xdr:colOff>251460</xdr:colOff>
      <xdr:row>26</xdr:row>
      <xdr:rowOff>137160</xdr:rowOff>
    </xdr:to>
    <xdr:graphicFrame macro="">
      <xdr:nvGraphicFramePr>
        <xdr:cNvPr id="3" name="Chart 2">
          <a:extLst>
            <a:ext uri="{FF2B5EF4-FFF2-40B4-BE49-F238E27FC236}">
              <a16:creationId xmlns:a16="http://schemas.microsoft.com/office/drawing/2014/main" id="{37D71F7B-B52B-1801-BA57-A30AF7AA8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121920</xdr:colOff>
      <xdr:row>2</xdr:row>
      <xdr:rowOff>11430</xdr:rowOff>
    </xdr:from>
    <xdr:to>
      <xdr:col>15</xdr:col>
      <xdr:colOff>289560</xdr:colOff>
      <xdr:row>15</xdr:row>
      <xdr:rowOff>22860</xdr:rowOff>
    </xdr:to>
    <xdr:graphicFrame macro="">
      <xdr:nvGraphicFramePr>
        <xdr:cNvPr id="5" name="Chart 4">
          <a:extLst>
            <a:ext uri="{FF2B5EF4-FFF2-40B4-BE49-F238E27FC236}">
              <a16:creationId xmlns:a16="http://schemas.microsoft.com/office/drawing/2014/main" id="{759B5C7E-DA13-F992-E133-6FC7C976C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495300</xdr:colOff>
      <xdr:row>17</xdr:row>
      <xdr:rowOff>133350</xdr:rowOff>
    </xdr:from>
    <xdr:to>
      <xdr:col>19</xdr:col>
      <xdr:colOff>342900</xdr:colOff>
      <xdr:row>30</xdr:row>
      <xdr:rowOff>68580</xdr:rowOff>
    </xdr:to>
    <xdr:graphicFrame macro="">
      <xdr:nvGraphicFramePr>
        <xdr:cNvPr id="6" name="Chart 5">
          <a:extLst>
            <a:ext uri="{FF2B5EF4-FFF2-40B4-BE49-F238E27FC236}">
              <a16:creationId xmlns:a16="http://schemas.microsoft.com/office/drawing/2014/main" id="{2ABCF794-33D4-28D3-EF14-500BAA94D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33</xdr:col>
      <xdr:colOff>15240</xdr:colOff>
      <xdr:row>15</xdr:row>
      <xdr:rowOff>60960</xdr:rowOff>
    </xdr:from>
    <xdr:to>
      <xdr:col>36</xdr:col>
      <xdr:colOff>15240</xdr:colOff>
      <xdr:row>28</xdr:row>
      <xdr:rowOff>150495</xdr:rowOff>
    </xdr:to>
    <mc:AlternateContent xmlns:mc="http://schemas.openxmlformats.org/markup-compatibility/2006" xmlns:a14="http://schemas.microsoft.com/office/drawing/2010/main">
      <mc:Choice Requires="a14">
        <xdr:graphicFrame macro="">
          <xdr:nvGraphicFramePr>
            <xdr:cNvPr id="7" name="Household_ID">
              <a:extLst>
                <a:ext uri="{FF2B5EF4-FFF2-40B4-BE49-F238E27FC236}">
                  <a16:creationId xmlns:a16="http://schemas.microsoft.com/office/drawing/2014/main" id="{D265EB73-76D2-6665-7CC6-D07DC3A265F0}"/>
                </a:ext>
              </a:extLst>
            </xdr:cNvPr>
            <xdr:cNvGraphicFramePr/>
          </xdr:nvGraphicFramePr>
          <xdr:xfrm>
            <a:off x="0" y="0"/>
            <a:ext cx="0" cy="0"/>
          </xdr:xfrm>
          <a:graphic>
            <a:graphicData uri="http://schemas.microsoft.com/office/drawing/2010/slicer">
              <sle:slicer xmlns:sle="http://schemas.microsoft.com/office/drawing/2010/slicer" name="Household_ID"/>
            </a:graphicData>
          </a:graphic>
        </xdr:graphicFrame>
      </mc:Choice>
      <mc:Fallback xmlns="">
        <xdr:sp macro="" textlink="">
          <xdr:nvSpPr>
            <xdr:cNvPr id="0" name=""/>
            <xdr:cNvSpPr>
              <a:spLocks noTextEdit="1"/>
            </xdr:cNvSpPr>
          </xdr:nvSpPr>
          <xdr:spPr>
            <a:xfrm>
              <a:off x="30190440" y="2834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304800</xdr:colOff>
      <xdr:row>15</xdr:row>
      <xdr:rowOff>53340</xdr:rowOff>
    </xdr:from>
    <xdr:to>
      <xdr:col>39</xdr:col>
      <xdr:colOff>304800</xdr:colOff>
      <xdr:row>28</xdr:row>
      <xdr:rowOff>142875</xdr:rowOff>
    </xdr:to>
    <mc:AlternateContent xmlns:mc="http://schemas.openxmlformats.org/markup-compatibility/2006" xmlns:a14="http://schemas.microsoft.com/office/drawing/2010/main">
      <mc:Choice Requires="a14">
        <xdr:graphicFrame macro="">
          <xdr:nvGraphicFramePr>
            <xdr:cNvPr id="8" name="Family_Size">
              <a:extLst>
                <a:ext uri="{FF2B5EF4-FFF2-40B4-BE49-F238E27FC236}">
                  <a16:creationId xmlns:a16="http://schemas.microsoft.com/office/drawing/2014/main" id="{AA4E639B-F4F2-040E-B2E2-75D52BFD4D29}"/>
                </a:ext>
              </a:extLst>
            </xdr:cNvPr>
            <xdr:cNvGraphicFramePr/>
          </xdr:nvGraphicFramePr>
          <xdr:xfrm>
            <a:off x="0" y="0"/>
            <a:ext cx="0" cy="0"/>
          </xdr:xfrm>
          <a:graphic>
            <a:graphicData uri="http://schemas.microsoft.com/office/drawing/2010/slicer">
              <sle:slicer xmlns:sle="http://schemas.microsoft.com/office/drawing/2010/slicer" name="Family_Size"/>
            </a:graphicData>
          </a:graphic>
        </xdr:graphicFrame>
      </mc:Choice>
      <mc:Fallback xmlns="">
        <xdr:sp macro="" textlink="">
          <xdr:nvSpPr>
            <xdr:cNvPr id="0" name=""/>
            <xdr:cNvSpPr>
              <a:spLocks noTextEdit="1"/>
            </xdr:cNvSpPr>
          </xdr:nvSpPr>
          <xdr:spPr>
            <a:xfrm>
              <a:off x="32308800" y="2827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60960</xdr:colOff>
      <xdr:row>0</xdr:row>
      <xdr:rowOff>152400</xdr:rowOff>
    </xdr:from>
    <xdr:to>
      <xdr:col>36</xdr:col>
      <xdr:colOff>60960</xdr:colOff>
      <xdr:row>14</xdr:row>
      <xdr:rowOff>28575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3FF81FE6-5B87-25D4-9589-0C4232AB705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23616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236220</xdr:colOff>
      <xdr:row>1</xdr:row>
      <xdr:rowOff>7620</xdr:rowOff>
    </xdr:from>
    <xdr:to>
      <xdr:col>39</xdr:col>
      <xdr:colOff>236220</xdr:colOff>
      <xdr:row>14</xdr:row>
      <xdr:rowOff>66675</xdr:rowOff>
    </xdr:to>
    <mc:AlternateContent xmlns:mc="http://schemas.openxmlformats.org/markup-compatibility/2006" xmlns:a14="http://schemas.microsoft.com/office/drawing/2010/main">
      <mc:Choice Requires="a14">
        <xdr:graphicFrame macro="">
          <xdr:nvGraphicFramePr>
            <xdr:cNvPr id="10" name="Energy_category">
              <a:extLst>
                <a:ext uri="{FF2B5EF4-FFF2-40B4-BE49-F238E27FC236}">
                  <a16:creationId xmlns:a16="http://schemas.microsoft.com/office/drawing/2014/main" id="{2E8DB179-A204-DE1B-F0FD-AB319064BA74}"/>
                </a:ext>
              </a:extLst>
            </xdr:cNvPr>
            <xdr:cNvGraphicFramePr/>
          </xdr:nvGraphicFramePr>
          <xdr:xfrm>
            <a:off x="0" y="0"/>
            <a:ext cx="0" cy="0"/>
          </xdr:xfrm>
          <a:graphic>
            <a:graphicData uri="http://schemas.microsoft.com/office/drawing/2010/slicer">
              <sle:slicer xmlns:sle="http://schemas.microsoft.com/office/drawing/2010/slicer" name="Energy_category"/>
            </a:graphicData>
          </a:graphic>
        </xdr:graphicFrame>
      </mc:Choice>
      <mc:Fallback xmlns="">
        <xdr:sp macro="" textlink="">
          <xdr:nvSpPr>
            <xdr:cNvPr id="0" name=""/>
            <xdr:cNvSpPr>
              <a:spLocks noTextEdit="1"/>
            </xdr:cNvSpPr>
          </xdr:nvSpPr>
          <xdr:spPr>
            <a:xfrm>
              <a:off x="3224022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182880</xdr:colOff>
      <xdr:row>1</xdr:row>
      <xdr:rowOff>87630</xdr:rowOff>
    </xdr:from>
    <xdr:to>
      <xdr:col>27</xdr:col>
      <xdr:colOff>76200</xdr:colOff>
      <xdr:row>12</xdr:row>
      <xdr:rowOff>167640</xdr:rowOff>
    </xdr:to>
    <xdr:graphicFrame macro="">
      <xdr:nvGraphicFramePr>
        <xdr:cNvPr id="11" name="Chart 10">
          <a:extLst>
            <a:ext uri="{FF2B5EF4-FFF2-40B4-BE49-F238E27FC236}">
              <a16:creationId xmlns:a16="http://schemas.microsoft.com/office/drawing/2014/main" id="{A4759772-A7CE-F3E1-6A1B-8C3A11E40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411480</xdr:colOff>
      <xdr:row>1</xdr:row>
      <xdr:rowOff>121920</xdr:rowOff>
    </xdr:from>
    <xdr:to>
      <xdr:col>33</xdr:col>
      <xdr:colOff>15240</xdr:colOff>
      <xdr:row>13</xdr:row>
      <xdr:rowOff>76200</xdr:rowOff>
    </xdr:to>
    <xdr:graphicFrame macro="">
      <xdr:nvGraphicFramePr>
        <xdr:cNvPr id="12" name="Chart 11">
          <a:extLst>
            <a:ext uri="{FF2B5EF4-FFF2-40B4-BE49-F238E27FC236}">
              <a16:creationId xmlns:a16="http://schemas.microsoft.com/office/drawing/2014/main" id="{4F5079ED-2016-B32F-83FB-66536A9D1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30480</xdr:rowOff>
    </xdr:from>
    <xdr:to>
      <xdr:col>18</xdr:col>
      <xdr:colOff>419100</xdr:colOff>
      <xdr:row>2</xdr:row>
      <xdr:rowOff>152400</xdr:rowOff>
    </xdr:to>
    <xdr:sp macro="" textlink="">
      <xdr:nvSpPr>
        <xdr:cNvPr id="2" name="Rectangle: Rounded Corners 1">
          <a:extLst>
            <a:ext uri="{FF2B5EF4-FFF2-40B4-BE49-F238E27FC236}">
              <a16:creationId xmlns:a16="http://schemas.microsoft.com/office/drawing/2014/main" id="{BFCE8D5F-24E7-3DDD-6728-5A6C583385E5}"/>
            </a:ext>
          </a:extLst>
        </xdr:cNvPr>
        <xdr:cNvSpPr/>
      </xdr:nvSpPr>
      <xdr:spPr>
        <a:xfrm>
          <a:off x="30480" y="30480"/>
          <a:ext cx="11361420" cy="48768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0">
              <a:latin typeface="Algerian" panose="04020705040A02060702" pitchFamily="82" charset="0"/>
            </a:rPr>
            <a:t>                                                                  </a:t>
          </a:r>
          <a:r>
            <a:rPr lang="en-IN" sz="1800" b="1" i="0">
              <a:solidFill>
                <a:srgbClr val="FFC000"/>
              </a:solidFill>
              <a:latin typeface="Algerian" panose="04020705040A02060702" pitchFamily="82" charset="0"/>
            </a:rPr>
            <a:t>Household Energy Consumption Analysis </a:t>
          </a:r>
        </a:p>
      </xdr:txBody>
    </xdr:sp>
    <xdr:clientData/>
  </xdr:twoCellAnchor>
  <xdr:twoCellAnchor>
    <xdr:from>
      <xdr:col>0</xdr:col>
      <xdr:colOff>45720</xdr:colOff>
      <xdr:row>3</xdr:row>
      <xdr:rowOff>38100</xdr:rowOff>
    </xdr:from>
    <xdr:to>
      <xdr:col>3</xdr:col>
      <xdr:colOff>7620</xdr:colOff>
      <xdr:row>6</xdr:row>
      <xdr:rowOff>60960</xdr:rowOff>
    </xdr:to>
    <xdr:sp macro="" textlink="">
      <xdr:nvSpPr>
        <xdr:cNvPr id="3" name="Rectangle: Rounded Corners 2">
          <a:extLst>
            <a:ext uri="{FF2B5EF4-FFF2-40B4-BE49-F238E27FC236}">
              <a16:creationId xmlns:a16="http://schemas.microsoft.com/office/drawing/2014/main" id="{05A21F0E-A911-B890-9277-8C406FBF6CBC}"/>
            </a:ext>
          </a:extLst>
        </xdr:cNvPr>
        <xdr:cNvSpPr/>
      </xdr:nvSpPr>
      <xdr:spPr>
        <a:xfrm>
          <a:off x="45720" y="586740"/>
          <a:ext cx="1790700" cy="57150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TOTAL HOUSEHOLD  </a:t>
          </a:r>
        </a:p>
        <a:p>
          <a:pPr algn="l"/>
          <a:r>
            <a:rPr lang="en-IN" sz="1100" b="0" i="0" u="none" strike="noStrike">
              <a:solidFill>
                <a:schemeClr val="lt1"/>
              </a:solidFill>
              <a:effectLst/>
              <a:latin typeface="+mn-lt"/>
              <a:ea typeface="+mn-ea"/>
              <a:cs typeface="+mn-cs"/>
            </a:rPr>
            <a:t>250          </a:t>
          </a:r>
          <a:r>
            <a:rPr lang="en-IN">
              <a:effectLst/>
            </a:rPr>
            <a:t> </a:t>
          </a:r>
          <a:endParaRPr lang="en-IN" sz="1100"/>
        </a:p>
      </xdr:txBody>
    </xdr:sp>
    <xdr:clientData/>
  </xdr:twoCellAnchor>
  <xdr:twoCellAnchor>
    <xdr:from>
      <xdr:col>3</xdr:col>
      <xdr:colOff>129540</xdr:colOff>
      <xdr:row>3</xdr:row>
      <xdr:rowOff>45720</xdr:rowOff>
    </xdr:from>
    <xdr:to>
      <xdr:col>6</xdr:col>
      <xdr:colOff>91440</xdr:colOff>
      <xdr:row>6</xdr:row>
      <xdr:rowOff>68580</xdr:rowOff>
    </xdr:to>
    <xdr:sp macro="" textlink="">
      <xdr:nvSpPr>
        <xdr:cNvPr id="4" name="Rectangle: Rounded Corners 3">
          <a:extLst>
            <a:ext uri="{FF2B5EF4-FFF2-40B4-BE49-F238E27FC236}">
              <a16:creationId xmlns:a16="http://schemas.microsoft.com/office/drawing/2014/main" id="{A3996301-23BE-4A34-AD69-A8500B521D46}"/>
            </a:ext>
          </a:extLst>
        </xdr:cNvPr>
        <xdr:cNvSpPr/>
      </xdr:nvSpPr>
      <xdr:spPr>
        <a:xfrm>
          <a:off x="1958340" y="594360"/>
          <a:ext cx="1790700" cy="57150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0" i="0" u="none" strike="noStrike">
              <a:solidFill>
                <a:schemeClr val="lt1"/>
              </a:solidFill>
              <a:effectLst/>
              <a:latin typeface="+mn-lt"/>
              <a:ea typeface="+mn-ea"/>
              <a:cs typeface="+mn-cs"/>
            </a:rPr>
            <a:t>TOTAL ELECTRICITY _USAGE   75335 kWh</a:t>
          </a:r>
        </a:p>
        <a:p>
          <a:pPr marL="0" indent="0" algn="l"/>
          <a:endParaRPr lang="en-IN" sz="1100" b="0" i="0" u="none" strike="noStrike">
            <a:solidFill>
              <a:schemeClr val="lt1"/>
            </a:solidFill>
            <a:effectLst/>
            <a:latin typeface="+mn-lt"/>
            <a:ea typeface="+mn-ea"/>
            <a:cs typeface="+mn-cs"/>
          </a:endParaRPr>
        </a:p>
      </xdr:txBody>
    </xdr:sp>
    <xdr:clientData/>
  </xdr:twoCellAnchor>
  <xdr:twoCellAnchor>
    <xdr:from>
      <xdr:col>15</xdr:col>
      <xdr:colOff>464820</xdr:colOff>
      <xdr:row>3</xdr:row>
      <xdr:rowOff>53340</xdr:rowOff>
    </xdr:from>
    <xdr:to>
      <xdr:col>18</xdr:col>
      <xdr:colOff>426720</xdr:colOff>
      <xdr:row>6</xdr:row>
      <xdr:rowOff>76200</xdr:rowOff>
    </xdr:to>
    <xdr:sp macro="" textlink="">
      <xdr:nvSpPr>
        <xdr:cNvPr id="5" name="Rectangle: Rounded Corners 4">
          <a:extLst>
            <a:ext uri="{FF2B5EF4-FFF2-40B4-BE49-F238E27FC236}">
              <a16:creationId xmlns:a16="http://schemas.microsoft.com/office/drawing/2014/main" id="{7923E11D-56FB-4589-AB90-670709375524}"/>
            </a:ext>
          </a:extLst>
        </xdr:cNvPr>
        <xdr:cNvSpPr/>
      </xdr:nvSpPr>
      <xdr:spPr>
        <a:xfrm>
          <a:off x="9608820" y="601980"/>
          <a:ext cx="1790700" cy="57150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High Energy Threshold </a:t>
          </a:r>
        </a:p>
        <a:p>
          <a:pPr algn="l"/>
          <a:r>
            <a:rPr lang="en-IN" sz="1100"/>
            <a:t>470.20 kWh</a:t>
          </a:r>
        </a:p>
      </xdr:txBody>
    </xdr:sp>
    <xdr:clientData/>
  </xdr:twoCellAnchor>
  <xdr:twoCellAnchor>
    <xdr:from>
      <xdr:col>6</xdr:col>
      <xdr:colOff>182880</xdr:colOff>
      <xdr:row>3</xdr:row>
      <xdr:rowOff>53340</xdr:rowOff>
    </xdr:from>
    <xdr:to>
      <xdr:col>9</xdr:col>
      <xdr:colOff>144780</xdr:colOff>
      <xdr:row>6</xdr:row>
      <xdr:rowOff>76200</xdr:rowOff>
    </xdr:to>
    <xdr:sp macro="" textlink="">
      <xdr:nvSpPr>
        <xdr:cNvPr id="6" name="Rectangle: Rounded Corners 5">
          <a:extLst>
            <a:ext uri="{FF2B5EF4-FFF2-40B4-BE49-F238E27FC236}">
              <a16:creationId xmlns:a16="http://schemas.microsoft.com/office/drawing/2014/main" id="{1852B61E-D480-4D91-9254-6D5B7B05507E}"/>
            </a:ext>
          </a:extLst>
        </xdr:cNvPr>
        <xdr:cNvSpPr/>
      </xdr:nvSpPr>
      <xdr:spPr>
        <a:xfrm>
          <a:off x="3840480" y="601980"/>
          <a:ext cx="1790700" cy="57150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 OF ELECTRICITY</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301.34 kWh</a:t>
          </a:r>
          <a:endParaRPr lang="en-IN">
            <a:effectLst/>
          </a:endParaRPr>
        </a:p>
        <a:p>
          <a:pPr algn="l"/>
          <a:endParaRPr lang="en-IN" sz="1100"/>
        </a:p>
      </xdr:txBody>
    </xdr:sp>
    <xdr:clientData/>
  </xdr:twoCellAnchor>
  <xdr:twoCellAnchor>
    <xdr:from>
      <xdr:col>9</xdr:col>
      <xdr:colOff>266700</xdr:colOff>
      <xdr:row>3</xdr:row>
      <xdr:rowOff>53340</xdr:rowOff>
    </xdr:from>
    <xdr:to>
      <xdr:col>12</xdr:col>
      <xdr:colOff>228600</xdr:colOff>
      <xdr:row>6</xdr:row>
      <xdr:rowOff>76200</xdr:rowOff>
    </xdr:to>
    <xdr:sp macro="" textlink="">
      <xdr:nvSpPr>
        <xdr:cNvPr id="7" name="Rectangle: Rounded Corners 6">
          <a:extLst>
            <a:ext uri="{FF2B5EF4-FFF2-40B4-BE49-F238E27FC236}">
              <a16:creationId xmlns:a16="http://schemas.microsoft.com/office/drawing/2014/main" id="{9DF63A67-75DB-4B11-8EA1-AEEBC6D601C4}"/>
            </a:ext>
          </a:extLst>
        </xdr:cNvPr>
        <xdr:cNvSpPr/>
      </xdr:nvSpPr>
      <xdr:spPr>
        <a:xfrm>
          <a:off x="5753100" y="601980"/>
          <a:ext cx="1790700" cy="57150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GAS_ USAGE</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30816 kWh</a:t>
          </a:r>
          <a:endParaRPr lang="en-IN">
            <a:effectLst/>
          </a:endParaRPr>
        </a:p>
        <a:p>
          <a:pPr algn="l"/>
          <a:endParaRPr lang="en-IN" sz="1100"/>
        </a:p>
      </xdr:txBody>
    </xdr:sp>
    <xdr:clientData/>
  </xdr:twoCellAnchor>
  <xdr:twoCellAnchor>
    <xdr:from>
      <xdr:col>12</xdr:col>
      <xdr:colOff>350520</xdr:colOff>
      <xdr:row>3</xdr:row>
      <xdr:rowOff>53340</xdr:rowOff>
    </xdr:from>
    <xdr:to>
      <xdr:col>15</xdr:col>
      <xdr:colOff>312420</xdr:colOff>
      <xdr:row>6</xdr:row>
      <xdr:rowOff>76200</xdr:rowOff>
    </xdr:to>
    <xdr:sp macro="" textlink="">
      <xdr:nvSpPr>
        <xdr:cNvPr id="8" name="Rectangle: Rounded Corners 7">
          <a:extLst>
            <a:ext uri="{FF2B5EF4-FFF2-40B4-BE49-F238E27FC236}">
              <a16:creationId xmlns:a16="http://schemas.microsoft.com/office/drawing/2014/main" id="{FE3289BE-B3B6-4289-8A38-8A25744EC081}"/>
            </a:ext>
          </a:extLst>
        </xdr:cNvPr>
        <xdr:cNvSpPr/>
      </xdr:nvSpPr>
      <xdr:spPr>
        <a:xfrm>
          <a:off x="7665720" y="601980"/>
          <a:ext cx="1790700" cy="571500"/>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 GAS _USAGE</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123.264 kWh</a:t>
          </a:r>
          <a:endParaRPr lang="en-IN">
            <a:effectLst/>
          </a:endParaRPr>
        </a:p>
        <a:p>
          <a:pPr algn="l"/>
          <a:endParaRPr lang="en-IN" sz="1100"/>
        </a:p>
      </xdr:txBody>
    </xdr:sp>
    <xdr:clientData/>
  </xdr:twoCellAnchor>
  <xdr:twoCellAnchor>
    <xdr:from>
      <xdr:col>2</xdr:col>
      <xdr:colOff>441960</xdr:colOff>
      <xdr:row>6</xdr:row>
      <xdr:rowOff>144780</xdr:rowOff>
    </xdr:from>
    <xdr:to>
      <xdr:col>7</xdr:col>
      <xdr:colOff>541020</xdr:colOff>
      <xdr:row>15</xdr:row>
      <xdr:rowOff>129540</xdr:rowOff>
    </xdr:to>
    <xdr:graphicFrame macro="">
      <xdr:nvGraphicFramePr>
        <xdr:cNvPr id="9" name="Chart 8">
          <a:extLst>
            <a:ext uri="{FF2B5EF4-FFF2-40B4-BE49-F238E27FC236}">
              <a16:creationId xmlns:a16="http://schemas.microsoft.com/office/drawing/2014/main" id="{3D3D8DAB-5F04-42F3-A406-4EA692471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137160</xdr:colOff>
      <xdr:row>6</xdr:row>
      <xdr:rowOff>129541</xdr:rowOff>
    </xdr:from>
    <xdr:to>
      <xdr:col>13</xdr:col>
      <xdr:colOff>22860</xdr:colOff>
      <xdr:row>15</xdr:row>
      <xdr:rowOff>129540</xdr:rowOff>
    </xdr:to>
    <xdr:graphicFrame macro="">
      <xdr:nvGraphicFramePr>
        <xdr:cNvPr id="10" name="Chart 9">
          <a:extLst>
            <a:ext uri="{FF2B5EF4-FFF2-40B4-BE49-F238E27FC236}">
              <a16:creationId xmlns:a16="http://schemas.microsoft.com/office/drawing/2014/main" id="{1C14BB58-B046-4A39-977E-805515592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160020</xdr:colOff>
      <xdr:row>6</xdr:row>
      <xdr:rowOff>144780</xdr:rowOff>
    </xdr:from>
    <xdr:to>
      <xdr:col>18</xdr:col>
      <xdr:colOff>419100</xdr:colOff>
      <xdr:row>15</xdr:row>
      <xdr:rowOff>121920</xdr:rowOff>
    </xdr:to>
    <xdr:graphicFrame macro="">
      <xdr:nvGraphicFramePr>
        <xdr:cNvPr id="11" name="Chart 10">
          <a:extLst>
            <a:ext uri="{FF2B5EF4-FFF2-40B4-BE49-F238E27FC236}">
              <a16:creationId xmlns:a16="http://schemas.microsoft.com/office/drawing/2014/main" id="{40AFE2DE-2B9A-4809-9989-EB21A012C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464820</xdr:colOff>
      <xdr:row>16</xdr:row>
      <xdr:rowOff>152400</xdr:rowOff>
    </xdr:from>
    <xdr:to>
      <xdr:col>7</xdr:col>
      <xdr:colOff>579120</xdr:colOff>
      <xdr:row>27</xdr:row>
      <xdr:rowOff>60960</xdr:rowOff>
    </xdr:to>
    <xdr:graphicFrame macro="">
      <xdr:nvGraphicFramePr>
        <xdr:cNvPr id="17" name="Chart 16">
          <a:extLst>
            <a:ext uri="{FF2B5EF4-FFF2-40B4-BE49-F238E27FC236}">
              <a16:creationId xmlns:a16="http://schemas.microsoft.com/office/drawing/2014/main" id="{D4F4A8AA-2E31-421E-BFC7-5DBCB568B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144780</xdr:colOff>
      <xdr:row>16</xdr:row>
      <xdr:rowOff>160020</xdr:rowOff>
    </xdr:from>
    <xdr:to>
      <xdr:col>13</xdr:col>
      <xdr:colOff>76200</xdr:colOff>
      <xdr:row>27</xdr:row>
      <xdr:rowOff>15240</xdr:rowOff>
    </xdr:to>
    <xdr:graphicFrame macro="">
      <xdr:nvGraphicFramePr>
        <xdr:cNvPr id="18" name="Chart 17">
          <a:extLst>
            <a:ext uri="{FF2B5EF4-FFF2-40B4-BE49-F238E27FC236}">
              <a16:creationId xmlns:a16="http://schemas.microsoft.com/office/drawing/2014/main" id="{AB7490C7-5CDC-432F-8E1C-181195008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274320</xdr:colOff>
      <xdr:row>17</xdr:row>
      <xdr:rowOff>7620</xdr:rowOff>
    </xdr:from>
    <xdr:to>
      <xdr:col>18</xdr:col>
      <xdr:colOff>426720</xdr:colOff>
      <xdr:row>26</xdr:row>
      <xdr:rowOff>167640</xdr:rowOff>
    </xdr:to>
    <xdr:graphicFrame macro="">
      <xdr:nvGraphicFramePr>
        <xdr:cNvPr id="19" name="Chart 18">
          <a:extLst>
            <a:ext uri="{FF2B5EF4-FFF2-40B4-BE49-F238E27FC236}">
              <a16:creationId xmlns:a16="http://schemas.microsoft.com/office/drawing/2014/main" id="{5EE10BDE-ADA5-46C8-884E-CC5DA9443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xdr:row>
      <xdr:rowOff>152401</xdr:rowOff>
    </xdr:from>
    <xdr:to>
      <xdr:col>2</xdr:col>
      <xdr:colOff>388620</xdr:colOff>
      <xdr:row>15</xdr:row>
      <xdr:rowOff>129540</xdr:rowOff>
    </xdr:to>
    <mc:AlternateContent xmlns:mc="http://schemas.openxmlformats.org/markup-compatibility/2006" xmlns:a14="http://schemas.microsoft.com/office/drawing/2010/main">
      <mc:Choice Requires="a14">
        <xdr:graphicFrame macro="">
          <xdr:nvGraphicFramePr>
            <xdr:cNvPr id="21" name="Family_Size 1">
              <a:extLst>
                <a:ext uri="{FF2B5EF4-FFF2-40B4-BE49-F238E27FC236}">
                  <a16:creationId xmlns:a16="http://schemas.microsoft.com/office/drawing/2014/main" id="{1996F773-0682-450C-8240-B1989F442E14}"/>
                </a:ext>
              </a:extLst>
            </xdr:cNvPr>
            <xdr:cNvGraphicFramePr/>
          </xdr:nvGraphicFramePr>
          <xdr:xfrm>
            <a:off x="0" y="0"/>
            <a:ext cx="0" cy="0"/>
          </xdr:xfrm>
          <a:graphic>
            <a:graphicData uri="http://schemas.microsoft.com/office/drawing/2010/slicer">
              <sle:slicer xmlns:sle="http://schemas.microsoft.com/office/drawing/2010/slicer" name="Family_Size 1"/>
            </a:graphicData>
          </a:graphic>
        </xdr:graphicFrame>
      </mc:Choice>
      <mc:Fallback xmlns="">
        <xdr:sp macro="" textlink="">
          <xdr:nvSpPr>
            <xdr:cNvPr id="0" name=""/>
            <xdr:cNvSpPr>
              <a:spLocks noTextEdit="1"/>
            </xdr:cNvSpPr>
          </xdr:nvSpPr>
          <xdr:spPr>
            <a:xfrm>
              <a:off x="0" y="1249681"/>
              <a:ext cx="1607820" cy="1623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152400</xdr:rowOff>
    </xdr:from>
    <xdr:to>
      <xdr:col>2</xdr:col>
      <xdr:colOff>396240</xdr:colOff>
      <xdr:row>27</xdr:row>
      <xdr:rowOff>68579</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3A9FD693-53A6-4F58-B4A8-B03E0C418D9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3078480"/>
              <a:ext cx="1615440" cy="192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0</xdr:row>
      <xdr:rowOff>22860</xdr:rowOff>
    </xdr:from>
    <xdr:to>
      <xdr:col>2</xdr:col>
      <xdr:colOff>288125</xdr:colOff>
      <xdr:row>2</xdr:row>
      <xdr:rowOff>144780</xdr:rowOff>
    </xdr:to>
    <xdr:pic>
      <xdr:nvPicPr>
        <xdr:cNvPr id="23" name="Picture 22">
          <a:extLst>
            <a:ext uri="{FF2B5EF4-FFF2-40B4-BE49-F238E27FC236}">
              <a16:creationId xmlns:a16="http://schemas.microsoft.com/office/drawing/2014/main" id="{F81A991E-3B73-9BBC-2E7D-FAB6EAC1600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2400" y="22860"/>
          <a:ext cx="1354925" cy="4876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a nadimindla" refreshedDate="46284.898664120374" createdVersion="8" refreshedVersion="8" minRefreshableVersion="3" recordCount="250" xr:uid="{AB6F729C-411C-4897-B7A5-5F4D4D6A0A37}">
  <cacheSource type="worksheet">
    <worksheetSource name="Table1"/>
  </cacheSource>
  <cacheFields count="8">
    <cacheField name="Household_ID" numFmtId="0">
      <sharedItems count="250">
        <s v="H001"/>
        <s v="H002"/>
        <s v="H003"/>
        <s v="H004"/>
        <s v="H005"/>
        <s v="H006"/>
        <s v="H007"/>
        <s v="H008"/>
        <s v="H009"/>
        <s v="H010"/>
        <s v="H011"/>
        <s v="H012"/>
        <s v="H013"/>
        <s v="H014"/>
        <s v="H015"/>
        <s v="H016"/>
        <s v="H017"/>
        <s v="H018"/>
        <s v="H019"/>
        <s v="H020"/>
        <s v="H021"/>
        <s v="H022"/>
        <s v="H023"/>
        <s v="H024"/>
        <s v="H025"/>
        <s v="H026"/>
        <s v="H027"/>
        <s v="H028"/>
        <s v="H029"/>
        <s v="H030"/>
        <s v="H031"/>
        <s v="H032"/>
        <s v="H033"/>
        <s v="H034"/>
        <s v="H035"/>
        <s v="H036"/>
        <s v="H037"/>
        <s v="H038"/>
        <s v="H039"/>
        <s v="H040"/>
        <s v="H041"/>
        <s v="H042"/>
        <s v="H043"/>
        <s v="H044"/>
        <s v="H045"/>
        <s v="H046"/>
        <s v="H047"/>
        <s v="H048"/>
        <s v="H049"/>
        <s v="H050"/>
        <s v="H051"/>
        <s v="H052"/>
        <s v="H053"/>
        <s v="H054"/>
        <s v="H055"/>
        <s v="H056"/>
        <s v="H057"/>
        <s v="H058"/>
        <s v="H059"/>
        <s v="H060"/>
        <s v="H061"/>
        <s v="H062"/>
        <s v="H063"/>
        <s v="H064"/>
        <s v="H065"/>
        <s v="H066"/>
        <s v="H067"/>
        <s v="H068"/>
        <s v="H069"/>
        <s v="H070"/>
        <s v="H071"/>
        <s v="H072"/>
        <s v="H073"/>
        <s v="H074"/>
        <s v="H075"/>
        <s v="H076"/>
        <s v="H077"/>
        <s v="H078"/>
        <s v="H079"/>
        <s v="H080"/>
        <s v="H081"/>
        <s v="H082"/>
        <s v="H083"/>
        <s v="H084"/>
        <s v="H085"/>
        <s v="H086"/>
        <s v="H087"/>
        <s v="H088"/>
        <s v="H089"/>
        <s v="H090"/>
        <s v="H091"/>
        <s v="H092"/>
        <s v="H093"/>
        <s v="H094"/>
        <s v="H095"/>
        <s v="H096"/>
        <s v="H097"/>
        <s v="H098"/>
        <s v="H099"/>
        <s v="H100"/>
        <s v="H101"/>
        <s v="H102"/>
        <s v="H103"/>
        <s v="H104"/>
        <s v="H105"/>
        <s v="H106"/>
        <s v="H107"/>
        <s v="H108"/>
        <s v="H109"/>
        <s v="H110"/>
        <s v="H111"/>
        <s v="H112"/>
        <s v="H113"/>
        <s v="H114"/>
        <s v="H115"/>
        <s v="H116"/>
        <s v="H117"/>
        <s v="H118"/>
        <s v="H119"/>
        <s v="H120"/>
        <s v="H121"/>
        <s v="H122"/>
        <s v="H123"/>
        <s v="H124"/>
        <s v="H125"/>
        <s v="H126"/>
        <s v="H127"/>
        <s v="H128"/>
        <s v="H129"/>
        <s v="H130"/>
        <s v="H131"/>
        <s v="H132"/>
        <s v="H133"/>
        <s v="H134"/>
        <s v="H135"/>
        <s v="H136"/>
        <s v="H137"/>
        <s v="H138"/>
        <s v="H139"/>
        <s v="H140"/>
        <s v="H141"/>
        <s v="H142"/>
        <s v="H143"/>
        <s v="H144"/>
        <s v="H145"/>
        <s v="H146"/>
        <s v="H147"/>
        <s v="H148"/>
        <s v="H149"/>
        <s v="H150"/>
        <s v="H151"/>
        <s v="H152"/>
        <s v="H153"/>
        <s v="H154"/>
        <s v="H155"/>
        <s v="H156"/>
        <s v="H157"/>
        <s v="H158"/>
        <s v="H159"/>
        <s v="H160"/>
        <s v="H161"/>
        <s v="H162"/>
        <s v="H163"/>
        <s v="H164"/>
        <s v="H165"/>
        <s v="H166"/>
        <s v="H167"/>
        <s v="H168"/>
        <s v="H169"/>
        <s v="H170"/>
        <s v="H171"/>
        <s v="H172"/>
        <s v="H173"/>
        <s v="H174"/>
        <s v="H175"/>
        <s v="H176"/>
        <s v="H177"/>
        <s v="H178"/>
        <s v="H179"/>
        <s v="H180"/>
        <s v="H181"/>
        <s v="H182"/>
        <s v="H183"/>
        <s v="H184"/>
        <s v="H185"/>
        <s v="H186"/>
        <s v="H187"/>
        <s v="H188"/>
        <s v="H189"/>
        <s v="H190"/>
        <s v="H191"/>
        <s v="H192"/>
        <s v="H193"/>
        <s v="H194"/>
        <s v="H195"/>
        <s v="H196"/>
        <s v="H197"/>
        <s v="H198"/>
        <s v="H199"/>
        <s v="H200"/>
        <s v="H201"/>
        <s v="H202"/>
        <s v="H203"/>
        <s v="H204"/>
        <s v="H205"/>
        <s v="H206"/>
        <s v="H207"/>
        <s v="H208"/>
        <s v="H209"/>
        <s v="H210"/>
        <s v="H211"/>
        <s v="H212"/>
        <s v="H213"/>
        <s v="H214"/>
        <s v="H215"/>
        <s v="H216"/>
        <s v="H217"/>
        <s v="H218"/>
        <s v="H219"/>
        <s v="H220"/>
        <s v="H221"/>
        <s v="H222"/>
        <s v="H223"/>
        <s v="H224"/>
        <s v="H225"/>
        <s v="H226"/>
        <s v="H227"/>
        <s v="H228"/>
        <s v="H229"/>
        <s v="H230"/>
        <s v="H231"/>
        <s v="H232"/>
        <s v="H233"/>
        <s v="H234"/>
        <s v="H235"/>
        <s v="H236"/>
        <s v="H237"/>
        <s v="H238"/>
        <s v="H239"/>
        <s v="H240"/>
        <s v="H241"/>
        <s v="H242"/>
        <s v="H243"/>
        <s v="H244"/>
        <s v="H245"/>
        <s v="H246"/>
        <s v="H247"/>
        <s v="H248"/>
        <s v="H249"/>
        <s v="H250"/>
      </sharedItems>
    </cacheField>
    <cacheField name="Family_Size" numFmtId="0">
      <sharedItems containsSemiMixedTypes="0" containsString="0" containsNumber="1" containsInteger="1" minValue="1" maxValue="7" count="7">
        <n v="7"/>
        <n v="4"/>
        <n v="5"/>
        <n v="3"/>
        <n v="2"/>
        <n v="6"/>
        <n v="1"/>
      </sharedItems>
    </cacheField>
    <cacheField name="Monthly_Income" numFmtId="0">
      <sharedItems containsSemiMixedTypes="0" containsString="0" containsNumber="1" containsInteger="1" minValue="20301" maxValue="99909" count="250">
        <n v="85318"/>
        <n v="43664"/>
        <n v="87172"/>
        <n v="46736"/>
        <n v="20854"/>
        <n v="58623"/>
        <n v="27392"/>
        <n v="75680"/>
        <n v="66717"/>
        <n v="70859"/>
        <n v="46309"/>
        <n v="83734"/>
        <n v="90467"/>
        <n v="72662"/>
        <n v="32688"/>
        <n v="45342"/>
        <n v="57157"/>
        <n v="87863"/>
        <n v="72083"/>
        <n v="85733"/>
        <n v="54698"/>
        <n v="42671"/>
        <n v="45184"/>
        <n v="62107"/>
        <n v="71663"/>
        <n v="35708"/>
        <n v="69811"/>
        <n v="22811"/>
        <n v="76250"/>
        <n v="92082"/>
        <n v="54754"/>
        <n v="31411"/>
        <n v="22911"/>
        <n v="87270"/>
        <n v="28680"/>
        <n v="91295"/>
        <n v="31111"/>
        <n v="57504"/>
        <n v="21802"/>
        <n v="28155"/>
        <n v="93656"/>
        <n v="59384"/>
        <n v="67254"/>
        <n v="41918"/>
        <n v="80713"/>
        <n v="50306"/>
        <n v="36646"/>
        <n v="66843"/>
        <n v="36371"/>
        <n v="97371"/>
        <n v="22049"/>
        <n v="51616"/>
        <n v="40932"/>
        <n v="49855"/>
        <n v="81434"/>
        <n v="92694"/>
        <n v="63016"/>
        <n v="27400"/>
        <n v="62642"/>
        <n v="35151"/>
        <n v="71407"/>
        <n v="86690"/>
        <n v="24499"/>
        <n v="26295"/>
        <n v="79040"/>
        <n v="32183"/>
        <n v="49299"/>
        <n v="32874"/>
        <n v="52711"/>
        <n v="25539"/>
        <n v="73351"/>
        <n v="81267"/>
        <n v="68354"/>
        <n v="22557"/>
        <n v="58360"/>
        <n v="22200"/>
        <n v="88497"/>
        <n v="66975"/>
        <n v="41357"/>
        <n v="97505"/>
        <n v="22869"/>
        <n v="81135"/>
        <n v="70108"/>
        <n v="58467"/>
        <n v="43328"/>
        <n v="23987"/>
        <n v="78871"/>
        <n v="42399"/>
        <n v="66214"/>
        <n v="90271"/>
        <n v="64064"/>
        <n v="90091"/>
        <n v="60818"/>
        <n v="65525"/>
        <n v="39830"/>
        <n v="37429"/>
        <n v="26893"/>
        <n v="99909"/>
        <n v="67333"/>
        <n v="23436"/>
        <n v="94290"/>
        <n v="96213"/>
        <n v="25895"/>
        <n v="39738"/>
        <n v="50746"/>
        <n v="69377"/>
        <n v="68404"/>
        <n v="74045"/>
        <n v="59790"/>
        <n v="25600"/>
        <n v="60764"/>
        <n v="94543"/>
        <n v="65714"/>
        <n v="76835"/>
        <n v="93744"/>
        <n v="76491"/>
        <n v="38589"/>
        <n v="63484"/>
        <n v="56212"/>
        <n v="63525"/>
        <n v="67202"/>
        <n v="52635"/>
        <n v="83208"/>
        <n v="53828"/>
        <n v="38711"/>
        <n v="23420"/>
        <n v="20301"/>
        <n v="65236"/>
        <n v="86235"/>
        <n v="74240"/>
        <n v="85726"/>
        <n v="30492"/>
        <n v="26102"/>
        <n v="70336"/>
        <n v="46641"/>
        <n v="54584"/>
        <n v="52745"/>
        <n v="43093"/>
        <n v="86105"/>
        <n v="71885"/>
        <n v="56631"/>
        <n v="92991"/>
        <n v="24014"/>
        <n v="31093"/>
        <n v="38070"/>
        <n v="55777"/>
        <n v="76958"/>
        <n v="30729"/>
        <n v="65017"/>
        <n v="86320"/>
        <n v="47751"/>
        <n v="98069"/>
        <n v="74748"/>
        <n v="25801"/>
        <n v="39190"/>
        <n v="69689"/>
        <n v="70993"/>
        <n v="49592"/>
        <n v="30647"/>
        <n v="28716"/>
        <n v="90316"/>
        <n v="22368"/>
        <n v="97575"/>
        <n v="26655"/>
        <n v="90031"/>
        <n v="96429"/>
        <n v="75766"/>
        <n v="33403"/>
        <n v="52097"/>
        <n v="98657"/>
        <n v="30966"/>
        <n v="72921"/>
        <n v="69726"/>
        <n v="70300"/>
        <n v="42677"/>
        <n v="75609"/>
        <n v="76661"/>
        <n v="51024"/>
        <n v="90313"/>
        <n v="73006"/>
        <n v="35338"/>
        <n v="88027"/>
        <n v="39508"/>
        <n v="23051"/>
        <n v="68747"/>
        <n v="74021"/>
        <n v="86412"/>
        <n v="78335"/>
        <n v="76179"/>
        <n v="52093"/>
        <n v="89678"/>
        <n v="59734"/>
        <n v="92615"/>
        <n v="93523"/>
        <n v="37019"/>
        <n v="93847"/>
        <n v="99634"/>
        <n v="48251"/>
        <n v="45945"/>
        <n v="52217"/>
        <n v="28308"/>
        <n v="25949"/>
        <n v="71990"/>
        <n v="21150"/>
        <n v="94740"/>
        <n v="86617"/>
        <n v="36896"/>
        <n v="66175"/>
        <n v="27805"/>
        <n v="25237"/>
        <n v="40056"/>
        <n v="65543"/>
        <n v="76556"/>
        <n v="23343"/>
        <n v="33500"/>
        <n v="73222"/>
        <n v="49375"/>
        <n v="29662"/>
        <n v="36964"/>
        <n v="79638"/>
        <n v="93666"/>
        <n v="87215"/>
        <n v="89042"/>
        <n v="33284"/>
        <n v="92789"/>
        <n v="81389"/>
        <n v="29435"/>
        <n v="74340"/>
        <n v="64078"/>
        <n v="98832"/>
        <n v="71293"/>
        <n v="98781"/>
        <n v="80403"/>
        <n v="49124"/>
        <n v="63919"/>
        <n v="55247"/>
        <n v="82752"/>
        <n v="76573"/>
        <n v="79101"/>
        <n v="46646"/>
        <n v="43049"/>
        <n v="99605"/>
        <n v="88385"/>
        <n v="60158"/>
        <n v="85417"/>
        <n v="43289"/>
        <n v="29823"/>
        <n v="80160"/>
        <n v="61975"/>
        <n v="29540"/>
      </sharedItems>
    </cacheField>
    <cacheField name="Electricity_Usage (kWh)" numFmtId="0">
      <sharedItems containsSemiMixedTypes="0" containsString="0" containsNumber="1" containsInteger="1" minValue="100" maxValue="500"/>
    </cacheField>
    <cacheField name="Gas_Usage" numFmtId="0">
      <sharedItems containsSemiMixedTypes="0" containsString="0" containsNumber="1" containsInteger="1" minValue="50" maxValue="200" count="124">
        <n v="105"/>
        <n v="79"/>
        <n v="158"/>
        <n v="54"/>
        <n v="168"/>
        <n v="82"/>
        <n v="167"/>
        <n v="114"/>
        <n v="195"/>
        <n v="60"/>
        <n v="134"/>
        <n v="75"/>
        <n v="112"/>
        <n v="135"/>
        <n v="108"/>
        <n v="76"/>
        <n v="147"/>
        <n v="154"/>
        <n v="148"/>
        <n v="178"/>
        <n v="198"/>
        <n v="104"/>
        <n v="55"/>
        <n v="144"/>
        <n v="182"/>
        <n v="151"/>
        <n v="52"/>
        <n v="72"/>
        <n v="102"/>
        <n v="132"/>
        <n v="194"/>
        <n v="127"/>
        <n v="159"/>
        <n v="50"/>
        <n v="100"/>
        <n v="53"/>
        <n v="162"/>
        <n v="81"/>
        <n v="83"/>
        <n v="141"/>
        <n v="121"/>
        <n v="88"/>
        <n v="172"/>
        <n v="99"/>
        <n v="61"/>
        <n v="103"/>
        <n v="106"/>
        <n v="161"/>
        <n v="96"/>
        <n v="200"/>
        <n v="191"/>
        <n v="115"/>
        <n v="124"/>
        <n v="152"/>
        <n v="87"/>
        <n v="131"/>
        <n v="128"/>
        <n v="140"/>
        <n v="101"/>
        <n v="155"/>
        <n v="130"/>
        <n v="78"/>
        <n v="181"/>
        <n v="187"/>
        <n v="123"/>
        <n v="66"/>
        <n v="133"/>
        <n v="118"/>
        <n v="175"/>
        <n v="92"/>
        <n v="164"/>
        <n v="160"/>
        <n v="129"/>
        <n v="193"/>
        <n v="57"/>
        <n v="153"/>
        <n v="74"/>
        <n v="145"/>
        <n v="142"/>
        <n v="110"/>
        <n v="171"/>
        <n v="196"/>
        <n v="70"/>
        <n v="71"/>
        <n v="119"/>
        <n v="139"/>
        <n v="95"/>
        <n v="94"/>
        <n v="122"/>
        <n v="170"/>
        <n v="143"/>
        <n v="156"/>
        <n v="97"/>
        <n v="85"/>
        <n v="176"/>
        <n v="63"/>
        <n v="77"/>
        <n v="179"/>
        <n v="56"/>
        <n v="67"/>
        <n v="64"/>
        <n v="93"/>
        <n v="62"/>
        <n v="117"/>
        <n v="116"/>
        <n v="91"/>
        <n v="150"/>
        <n v="113"/>
        <n v="199"/>
        <n v="111"/>
        <n v="186"/>
        <n v="180"/>
        <n v="80"/>
        <n v="89"/>
        <n v="183"/>
        <n v="185"/>
        <n v="68"/>
        <n v="69"/>
        <n v="189"/>
        <n v="86"/>
        <n v="188"/>
        <n v="149"/>
        <n v="126"/>
        <n v="59"/>
      </sharedItems>
    </cacheField>
    <cacheField name="Appliances_Count" numFmtId="0">
      <sharedItems containsSemiMixedTypes="0" containsString="0" containsNumber="1" containsInteger="1" minValue="2" maxValue="14" count="13">
        <n v="6"/>
        <n v="10"/>
        <n v="2"/>
        <n v="12"/>
        <n v="9"/>
        <n v="7"/>
        <n v="8"/>
        <n v="4"/>
        <n v="13"/>
        <n v="3"/>
        <n v="14"/>
        <n v="11"/>
        <n v="5"/>
      </sharedItems>
    </cacheField>
    <cacheField name="Month" numFmtId="0">
      <sharedItems count="12">
        <s v="Mar"/>
        <s v="Feb"/>
        <s v="Jun"/>
        <s v="Dec"/>
        <s v="Jan"/>
        <s v="Apr"/>
        <s v="Aug"/>
        <s v="Jul"/>
        <s v="Oct"/>
        <s v="Sep"/>
        <s v="Nov"/>
        <s v="May"/>
      </sharedItems>
    </cacheField>
    <cacheField name="Energy_category" numFmtId="0">
      <sharedItems count="2">
        <s v="NORMAL ENERGY"/>
        <s v="HIGH ENERGY"/>
      </sharedItems>
    </cacheField>
  </cacheFields>
  <extLst>
    <ext xmlns:x14="http://schemas.microsoft.com/office/spreadsheetml/2009/9/main" uri="{725AE2AE-9491-48be-B2B4-4EB974FC3084}">
      <x14:pivotCacheDefinition pivotCacheId="1063902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n v="103"/>
    <x v="0"/>
    <x v="0"/>
    <x v="0"/>
    <x v="0"/>
  </r>
  <r>
    <x v="1"/>
    <x v="1"/>
    <x v="1"/>
    <n v="115"/>
    <x v="1"/>
    <x v="1"/>
    <x v="1"/>
    <x v="0"/>
  </r>
  <r>
    <x v="2"/>
    <x v="2"/>
    <x v="2"/>
    <n v="379"/>
    <x v="2"/>
    <x v="2"/>
    <x v="1"/>
    <x v="0"/>
  </r>
  <r>
    <x v="3"/>
    <x v="0"/>
    <x v="3"/>
    <n v="435"/>
    <x v="3"/>
    <x v="1"/>
    <x v="2"/>
    <x v="0"/>
  </r>
  <r>
    <x v="4"/>
    <x v="3"/>
    <x v="4"/>
    <n v="346"/>
    <x v="4"/>
    <x v="3"/>
    <x v="3"/>
    <x v="0"/>
  </r>
  <r>
    <x v="5"/>
    <x v="2"/>
    <x v="5"/>
    <n v="357"/>
    <x v="5"/>
    <x v="4"/>
    <x v="4"/>
    <x v="0"/>
  </r>
  <r>
    <x v="6"/>
    <x v="2"/>
    <x v="6"/>
    <n v="483"/>
    <x v="6"/>
    <x v="5"/>
    <x v="1"/>
    <x v="1"/>
  </r>
  <r>
    <x v="7"/>
    <x v="0"/>
    <x v="7"/>
    <n v="259"/>
    <x v="7"/>
    <x v="6"/>
    <x v="2"/>
    <x v="0"/>
  </r>
  <r>
    <x v="8"/>
    <x v="4"/>
    <x v="8"/>
    <n v="439"/>
    <x v="8"/>
    <x v="7"/>
    <x v="0"/>
    <x v="0"/>
  </r>
  <r>
    <x v="9"/>
    <x v="3"/>
    <x v="9"/>
    <n v="251"/>
    <x v="9"/>
    <x v="2"/>
    <x v="5"/>
    <x v="0"/>
  </r>
  <r>
    <x v="10"/>
    <x v="0"/>
    <x v="10"/>
    <n v="495"/>
    <x v="10"/>
    <x v="0"/>
    <x v="4"/>
    <x v="1"/>
  </r>
  <r>
    <x v="11"/>
    <x v="3"/>
    <x v="11"/>
    <n v="277"/>
    <x v="11"/>
    <x v="8"/>
    <x v="6"/>
    <x v="0"/>
  </r>
  <r>
    <x v="12"/>
    <x v="3"/>
    <x v="12"/>
    <n v="262"/>
    <x v="12"/>
    <x v="8"/>
    <x v="7"/>
    <x v="0"/>
  </r>
  <r>
    <x v="13"/>
    <x v="2"/>
    <x v="13"/>
    <n v="479"/>
    <x v="13"/>
    <x v="9"/>
    <x v="7"/>
    <x v="1"/>
  </r>
  <r>
    <x v="14"/>
    <x v="1"/>
    <x v="14"/>
    <n v="132"/>
    <x v="14"/>
    <x v="0"/>
    <x v="0"/>
    <x v="0"/>
  </r>
  <r>
    <x v="15"/>
    <x v="3"/>
    <x v="15"/>
    <n v="278"/>
    <x v="15"/>
    <x v="4"/>
    <x v="8"/>
    <x v="0"/>
  </r>
  <r>
    <x v="16"/>
    <x v="5"/>
    <x v="16"/>
    <n v="200"/>
    <x v="16"/>
    <x v="3"/>
    <x v="8"/>
    <x v="0"/>
  </r>
  <r>
    <x v="17"/>
    <x v="2"/>
    <x v="17"/>
    <n v="367"/>
    <x v="17"/>
    <x v="1"/>
    <x v="0"/>
    <x v="0"/>
  </r>
  <r>
    <x v="18"/>
    <x v="4"/>
    <x v="18"/>
    <n v="422"/>
    <x v="18"/>
    <x v="9"/>
    <x v="1"/>
    <x v="0"/>
  </r>
  <r>
    <x v="19"/>
    <x v="1"/>
    <x v="19"/>
    <n v="164"/>
    <x v="19"/>
    <x v="8"/>
    <x v="3"/>
    <x v="0"/>
  </r>
  <r>
    <x v="20"/>
    <x v="5"/>
    <x v="20"/>
    <n v="267"/>
    <x v="20"/>
    <x v="7"/>
    <x v="4"/>
    <x v="0"/>
  </r>
  <r>
    <x v="21"/>
    <x v="5"/>
    <x v="21"/>
    <n v="429"/>
    <x v="21"/>
    <x v="7"/>
    <x v="7"/>
    <x v="0"/>
  </r>
  <r>
    <x v="22"/>
    <x v="4"/>
    <x v="22"/>
    <n v="142"/>
    <x v="22"/>
    <x v="2"/>
    <x v="7"/>
    <x v="0"/>
  </r>
  <r>
    <x v="23"/>
    <x v="1"/>
    <x v="23"/>
    <n v="143"/>
    <x v="23"/>
    <x v="4"/>
    <x v="3"/>
    <x v="0"/>
  </r>
  <r>
    <x v="24"/>
    <x v="2"/>
    <x v="24"/>
    <n v="384"/>
    <x v="24"/>
    <x v="5"/>
    <x v="1"/>
    <x v="0"/>
  </r>
  <r>
    <x v="25"/>
    <x v="6"/>
    <x v="25"/>
    <n v="496"/>
    <x v="25"/>
    <x v="8"/>
    <x v="7"/>
    <x v="1"/>
  </r>
  <r>
    <x v="26"/>
    <x v="1"/>
    <x v="26"/>
    <n v="111"/>
    <x v="26"/>
    <x v="10"/>
    <x v="6"/>
    <x v="0"/>
  </r>
  <r>
    <x v="27"/>
    <x v="4"/>
    <x v="27"/>
    <n v="194"/>
    <x v="27"/>
    <x v="4"/>
    <x v="4"/>
    <x v="0"/>
  </r>
  <r>
    <x v="28"/>
    <x v="5"/>
    <x v="28"/>
    <n v="401"/>
    <x v="28"/>
    <x v="3"/>
    <x v="9"/>
    <x v="0"/>
  </r>
  <r>
    <x v="29"/>
    <x v="2"/>
    <x v="29"/>
    <n v="485"/>
    <x v="29"/>
    <x v="1"/>
    <x v="7"/>
    <x v="1"/>
  </r>
  <r>
    <x v="30"/>
    <x v="1"/>
    <x v="30"/>
    <n v="352"/>
    <x v="30"/>
    <x v="0"/>
    <x v="0"/>
    <x v="0"/>
  </r>
  <r>
    <x v="31"/>
    <x v="6"/>
    <x v="31"/>
    <n v="341"/>
    <x v="10"/>
    <x v="8"/>
    <x v="6"/>
    <x v="0"/>
  </r>
  <r>
    <x v="32"/>
    <x v="6"/>
    <x v="32"/>
    <n v="134"/>
    <x v="31"/>
    <x v="7"/>
    <x v="7"/>
    <x v="0"/>
  </r>
  <r>
    <x v="33"/>
    <x v="3"/>
    <x v="33"/>
    <n v="314"/>
    <x v="32"/>
    <x v="0"/>
    <x v="10"/>
    <x v="0"/>
  </r>
  <r>
    <x v="34"/>
    <x v="3"/>
    <x v="34"/>
    <n v="436"/>
    <x v="33"/>
    <x v="0"/>
    <x v="6"/>
    <x v="0"/>
  </r>
  <r>
    <x v="35"/>
    <x v="0"/>
    <x v="35"/>
    <n v="189"/>
    <x v="34"/>
    <x v="0"/>
    <x v="2"/>
    <x v="0"/>
  </r>
  <r>
    <x v="36"/>
    <x v="4"/>
    <x v="36"/>
    <n v="363"/>
    <x v="35"/>
    <x v="7"/>
    <x v="9"/>
    <x v="0"/>
  </r>
  <r>
    <x v="37"/>
    <x v="1"/>
    <x v="37"/>
    <n v="192"/>
    <x v="36"/>
    <x v="3"/>
    <x v="11"/>
    <x v="0"/>
  </r>
  <r>
    <x v="38"/>
    <x v="1"/>
    <x v="38"/>
    <n v="189"/>
    <x v="37"/>
    <x v="11"/>
    <x v="0"/>
    <x v="0"/>
  </r>
  <r>
    <x v="39"/>
    <x v="0"/>
    <x v="39"/>
    <n v="214"/>
    <x v="38"/>
    <x v="12"/>
    <x v="0"/>
    <x v="0"/>
  </r>
  <r>
    <x v="40"/>
    <x v="5"/>
    <x v="40"/>
    <n v="204"/>
    <x v="39"/>
    <x v="1"/>
    <x v="4"/>
    <x v="0"/>
  </r>
  <r>
    <x v="41"/>
    <x v="5"/>
    <x v="41"/>
    <n v="490"/>
    <x v="23"/>
    <x v="10"/>
    <x v="3"/>
    <x v="1"/>
  </r>
  <r>
    <x v="42"/>
    <x v="0"/>
    <x v="42"/>
    <n v="295"/>
    <x v="40"/>
    <x v="11"/>
    <x v="6"/>
    <x v="0"/>
  </r>
  <r>
    <x v="43"/>
    <x v="5"/>
    <x v="43"/>
    <n v="413"/>
    <x v="41"/>
    <x v="1"/>
    <x v="1"/>
    <x v="0"/>
  </r>
  <r>
    <x v="44"/>
    <x v="3"/>
    <x v="44"/>
    <n v="213"/>
    <x v="6"/>
    <x v="9"/>
    <x v="0"/>
    <x v="0"/>
  </r>
  <r>
    <x v="45"/>
    <x v="1"/>
    <x v="45"/>
    <n v="174"/>
    <x v="26"/>
    <x v="4"/>
    <x v="6"/>
    <x v="0"/>
  </r>
  <r>
    <x v="46"/>
    <x v="0"/>
    <x v="46"/>
    <n v="475"/>
    <x v="42"/>
    <x v="4"/>
    <x v="6"/>
    <x v="1"/>
  </r>
  <r>
    <x v="47"/>
    <x v="1"/>
    <x v="47"/>
    <n v="316"/>
    <x v="43"/>
    <x v="6"/>
    <x v="10"/>
    <x v="0"/>
  </r>
  <r>
    <x v="48"/>
    <x v="6"/>
    <x v="48"/>
    <n v="376"/>
    <x v="44"/>
    <x v="4"/>
    <x v="5"/>
    <x v="0"/>
  </r>
  <r>
    <x v="49"/>
    <x v="3"/>
    <x v="49"/>
    <n v="348"/>
    <x v="45"/>
    <x v="7"/>
    <x v="5"/>
    <x v="0"/>
  </r>
  <r>
    <x v="50"/>
    <x v="2"/>
    <x v="50"/>
    <n v="263"/>
    <x v="24"/>
    <x v="10"/>
    <x v="11"/>
    <x v="0"/>
  </r>
  <r>
    <x v="51"/>
    <x v="3"/>
    <x v="51"/>
    <n v="493"/>
    <x v="46"/>
    <x v="5"/>
    <x v="2"/>
    <x v="1"/>
  </r>
  <r>
    <x v="52"/>
    <x v="0"/>
    <x v="52"/>
    <n v="456"/>
    <x v="30"/>
    <x v="2"/>
    <x v="11"/>
    <x v="0"/>
  </r>
  <r>
    <x v="53"/>
    <x v="2"/>
    <x v="53"/>
    <n v="291"/>
    <x v="47"/>
    <x v="6"/>
    <x v="7"/>
    <x v="0"/>
  </r>
  <r>
    <x v="54"/>
    <x v="6"/>
    <x v="54"/>
    <n v="326"/>
    <x v="48"/>
    <x v="2"/>
    <x v="1"/>
    <x v="0"/>
  </r>
  <r>
    <x v="55"/>
    <x v="0"/>
    <x v="55"/>
    <n v="276"/>
    <x v="49"/>
    <x v="1"/>
    <x v="7"/>
    <x v="0"/>
  </r>
  <r>
    <x v="56"/>
    <x v="4"/>
    <x v="56"/>
    <n v="198"/>
    <x v="10"/>
    <x v="2"/>
    <x v="8"/>
    <x v="0"/>
  </r>
  <r>
    <x v="57"/>
    <x v="1"/>
    <x v="57"/>
    <n v="135"/>
    <x v="50"/>
    <x v="2"/>
    <x v="7"/>
    <x v="0"/>
  </r>
  <r>
    <x v="58"/>
    <x v="6"/>
    <x v="58"/>
    <n v="195"/>
    <x v="51"/>
    <x v="6"/>
    <x v="4"/>
    <x v="0"/>
  </r>
  <r>
    <x v="59"/>
    <x v="1"/>
    <x v="59"/>
    <n v="251"/>
    <x v="52"/>
    <x v="9"/>
    <x v="7"/>
    <x v="0"/>
  </r>
  <r>
    <x v="60"/>
    <x v="5"/>
    <x v="60"/>
    <n v="250"/>
    <x v="53"/>
    <x v="0"/>
    <x v="11"/>
    <x v="0"/>
  </r>
  <r>
    <x v="61"/>
    <x v="4"/>
    <x v="61"/>
    <n v="289"/>
    <x v="54"/>
    <x v="4"/>
    <x v="0"/>
    <x v="0"/>
  </r>
  <r>
    <x v="62"/>
    <x v="4"/>
    <x v="62"/>
    <n v="323"/>
    <x v="43"/>
    <x v="4"/>
    <x v="0"/>
    <x v="0"/>
  </r>
  <r>
    <x v="63"/>
    <x v="6"/>
    <x v="63"/>
    <n v="136"/>
    <x v="16"/>
    <x v="7"/>
    <x v="5"/>
    <x v="0"/>
  </r>
  <r>
    <x v="64"/>
    <x v="4"/>
    <x v="64"/>
    <n v="367"/>
    <x v="55"/>
    <x v="6"/>
    <x v="3"/>
    <x v="0"/>
  </r>
  <r>
    <x v="65"/>
    <x v="2"/>
    <x v="65"/>
    <n v="468"/>
    <x v="1"/>
    <x v="7"/>
    <x v="1"/>
    <x v="0"/>
  </r>
  <r>
    <x v="66"/>
    <x v="4"/>
    <x v="66"/>
    <n v="282"/>
    <x v="56"/>
    <x v="5"/>
    <x v="1"/>
    <x v="0"/>
  </r>
  <r>
    <x v="67"/>
    <x v="1"/>
    <x v="67"/>
    <n v="112"/>
    <x v="57"/>
    <x v="5"/>
    <x v="4"/>
    <x v="0"/>
  </r>
  <r>
    <x v="68"/>
    <x v="1"/>
    <x v="68"/>
    <n v="378"/>
    <x v="58"/>
    <x v="7"/>
    <x v="11"/>
    <x v="0"/>
  </r>
  <r>
    <x v="69"/>
    <x v="0"/>
    <x v="69"/>
    <n v="316"/>
    <x v="56"/>
    <x v="6"/>
    <x v="5"/>
    <x v="0"/>
  </r>
  <r>
    <x v="70"/>
    <x v="1"/>
    <x v="70"/>
    <n v="454"/>
    <x v="1"/>
    <x v="7"/>
    <x v="10"/>
    <x v="0"/>
  </r>
  <r>
    <x v="71"/>
    <x v="0"/>
    <x v="71"/>
    <n v="460"/>
    <x v="59"/>
    <x v="4"/>
    <x v="8"/>
    <x v="0"/>
  </r>
  <r>
    <x v="72"/>
    <x v="1"/>
    <x v="72"/>
    <n v="385"/>
    <x v="34"/>
    <x v="11"/>
    <x v="1"/>
    <x v="0"/>
  </r>
  <r>
    <x v="73"/>
    <x v="2"/>
    <x v="73"/>
    <n v="372"/>
    <x v="60"/>
    <x v="12"/>
    <x v="0"/>
    <x v="0"/>
  </r>
  <r>
    <x v="74"/>
    <x v="0"/>
    <x v="74"/>
    <n v="468"/>
    <x v="24"/>
    <x v="10"/>
    <x v="7"/>
    <x v="0"/>
  </r>
  <r>
    <x v="75"/>
    <x v="3"/>
    <x v="75"/>
    <n v="161"/>
    <x v="61"/>
    <x v="2"/>
    <x v="7"/>
    <x v="0"/>
  </r>
  <r>
    <x v="76"/>
    <x v="5"/>
    <x v="76"/>
    <n v="183"/>
    <x v="62"/>
    <x v="12"/>
    <x v="3"/>
    <x v="0"/>
  </r>
  <r>
    <x v="77"/>
    <x v="6"/>
    <x v="77"/>
    <n v="467"/>
    <x v="63"/>
    <x v="6"/>
    <x v="5"/>
    <x v="0"/>
  </r>
  <r>
    <x v="78"/>
    <x v="1"/>
    <x v="78"/>
    <n v="316"/>
    <x v="30"/>
    <x v="3"/>
    <x v="11"/>
    <x v="0"/>
  </r>
  <r>
    <x v="79"/>
    <x v="4"/>
    <x v="79"/>
    <n v="441"/>
    <x v="64"/>
    <x v="12"/>
    <x v="11"/>
    <x v="0"/>
  </r>
  <r>
    <x v="80"/>
    <x v="1"/>
    <x v="80"/>
    <n v="496"/>
    <x v="65"/>
    <x v="10"/>
    <x v="2"/>
    <x v="1"/>
  </r>
  <r>
    <x v="81"/>
    <x v="4"/>
    <x v="81"/>
    <n v="286"/>
    <x v="66"/>
    <x v="5"/>
    <x v="9"/>
    <x v="0"/>
  </r>
  <r>
    <x v="82"/>
    <x v="5"/>
    <x v="82"/>
    <n v="118"/>
    <x v="67"/>
    <x v="1"/>
    <x v="1"/>
    <x v="0"/>
  </r>
  <r>
    <x v="83"/>
    <x v="5"/>
    <x v="83"/>
    <n v="276"/>
    <x v="38"/>
    <x v="2"/>
    <x v="11"/>
    <x v="0"/>
  </r>
  <r>
    <x v="84"/>
    <x v="5"/>
    <x v="84"/>
    <n v="199"/>
    <x v="22"/>
    <x v="10"/>
    <x v="3"/>
    <x v="0"/>
  </r>
  <r>
    <x v="85"/>
    <x v="4"/>
    <x v="85"/>
    <n v="495"/>
    <x v="28"/>
    <x v="0"/>
    <x v="0"/>
    <x v="1"/>
  </r>
  <r>
    <x v="86"/>
    <x v="1"/>
    <x v="86"/>
    <n v="332"/>
    <x v="68"/>
    <x v="3"/>
    <x v="5"/>
    <x v="0"/>
  </r>
  <r>
    <x v="87"/>
    <x v="5"/>
    <x v="87"/>
    <n v="175"/>
    <x v="69"/>
    <x v="6"/>
    <x v="8"/>
    <x v="0"/>
  </r>
  <r>
    <x v="88"/>
    <x v="2"/>
    <x v="88"/>
    <n v="364"/>
    <x v="70"/>
    <x v="2"/>
    <x v="2"/>
    <x v="0"/>
  </r>
  <r>
    <x v="89"/>
    <x v="0"/>
    <x v="89"/>
    <n v="383"/>
    <x v="71"/>
    <x v="12"/>
    <x v="3"/>
    <x v="0"/>
  </r>
  <r>
    <x v="90"/>
    <x v="4"/>
    <x v="90"/>
    <n v="305"/>
    <x v="49"/>
    <x v="5"/>
    <x v="6"/>
    <x v="0"/>
  </r>
  <r>
    <x v="91"/>
    <x v="4"/>
    <x v="91"/>
    <n v="322"/>
    <x v="72"/>
    <x v="9"/>
    <x v="4"/>
    <x v="0"/>
  </r>
  <r>
    <x v="92"/>
    <x v="1"/>
    <x v="92"/>
    <n v="483"/>
    <x v="23"/>
    <x v="11"/>
    <x v="8"/>
    <x v="1"/>
  </r>
  <r>
    <x v="93"/>
    <x v="4"/>
    <x v="93"/>
    <n v="151"/>
    <x v="6"/>
    <x v="0"/>
    <x v="6"/>
    <x v="0"/>
  </r>
  <r>
    <x v="94"/>
    <x v="4"/>
    <x v="94"/>
    <n v="438"/>
    <x v="73"/>
    <x v="3"/>
    <x v="10"/>
    <x v="0"/>
  </r>
  <r>
    <x v="95"/>
    <x v="5"/>
    <x v="95"/>
    <n v="466"/>
    <x v="74"/>
    <x v="11"/>
    <x v="7"/>
    <x v="0"/>
  </r>
  <r>
    <x v="96"/>
    <x v="1"/>
    <x v="96"/>
    <n v="243"/>
    <x v="62"/>
    <x v="2"/>
    <x v="4"/>
    <x v="0"/>
  </r>
  <r>
    <x v="97"/>
    <x v="5"/>
    <x v="97"/>
    <n v="472"/>
    <x v="75"/>
    <x v="5"/>
    <x v="1"/>
    <x v="1"/>
  </r>
  <r>
    <x v="98"/>
    <x v="0"/>
    <x v="98"/>
    <n v="168"/>
    <x v="62"/>
    <x v="5"/>
    <x v="0"/>
    <x v="0"/>
  </r>
  <r>
    <x v="99"/>
    <x v="0"/>
    <x v="99"/>
    <n v="198"/>
    <x v="76"/>
    <x v="10"/>
    <x v="4"/>
    <x v="0"/>
  </r>
  <r>
    <x v="100"/>
    <x v="5"/>
    <x v="100"/>
    <n v="495"/>
    <x v="77"/>
    <x v="12"/>
    <x v="9"/>
    <x v="1"/>
  </r>
  <r>
    <x v="101"/>
    <x v="0"/>
    <x v="101"/>
    <n v="124"/>
    <x v="78"/>
    <x v="10"/>
    <x v="6"/>
    <x v="0"/>
  </r>
  <r>
    <x v="102"/>
    <x v="1"/>
    <x v="102"/>
    <n v="478"/>
    <x v="79"/>
    <x v="4"/>
    <x v="1"/>
    <x v="1"/>
  </r>
  <r>
    <x v="103"/>
    <x v="6"/>
    <x v="103"/>
    <n v="152"/>
    <x v="80"/>
    <x v="12"/>
    <x v="9"/>
    <x v="0"/>
  </r>
  <r>
    <x v="104"/>
    <x v="5"/>
    <x v="104"/>
    <n v="250"/>
    <x v="34"/>
    <x v="4"/>
    <x v="7"/>
    <x v="0"/>
  </r>
  <r>
    <x v="105"/>
    <x v="2"/>
    <x v="105"/>
    <n v="243"/>
    <x v="81"/>
    <x v="10"/>
    <x v="9"/>
    <x v="0"/>
  </r>
  <r>
    <x v="106"/>
    <x v="2"/>
    <x v="106"/>
    <n v="156"/>
    <x v="82"/>
    <x v="4"/>
    <x v="2"/>
    <x v="0"/>
  </r>
  <r>
    <x v="107"/>
    <x v="4"/>
    <x v="107"/>
    <n v="138"/>
    <x v="3"/>
    <x v="0"/>
    <x v="2"/>
    <x v="0"/>
  </r>
  <r>
    <x v="108"/>
    <x v="0"/>
    <x v="108"/>
    <n v="208"/>
    <x v="39"/>
    <x v="10"/>
    <x v="10"/>
    <x v="0"/>
  </r>
  <r>
    <x v="109"/>
    <x v="2"/>
    <x v="109"/>
    <n v="280"/>
    <x v="79"/>
    <x v="12"/>
    <x v="5"/>
    <x v="0"/>
  </r>
  <r>
    <x v="110"/>
    <x v="4"/>
    <x v="110"/>
    <n v="141"/>
    <x v="83"/>
    <x v="8"/>
    <x v="8"/>
    <x v="0"/>
  </r>
  <r>
    <x v="111"/>
    <x v="6"/>
    <x v="111"/>
    <n v="285"/>
    <x v="20"/>
    <x v="10"/>
    <x v="8"/>
    <x v="0"/>
  </r>
  <r>
    <x v="112"/>
    <x v="1"/>
    <x v="112"/>
    <n v="497"/>
    <x v="84"/>
    <x v="9"/>
    <x v="1"/>
    <x v="1"/>
  </r>
  <r>
    <x v="113"/>
    <x v="1"/>
    <x v="113"/>
    <n v="322"/>
    <x v="33"/>
    <x v="3"/>
    <x v="7"/>
    <x v="0"/>
  </r>
  <r>
    <x v="114"/>
    <x v="1"/>
    <x v="114"/>
    <n v="221"/>
    <x v="24"/>
    <x v="7"/>
    <x v="11"/>
    <x v="0"/>
  </r>
  <r>
    <x v="115"/>
    <x v="2"/>
    <x v="115"/>
    <n v="232"/>
    <x v="44"/>
    <x v="7"/>
    <x v="10"/>
    <x v="0"/>
  </r>
  <r>
    <x v="116"/>
    <x v="6"/>
    <x v="116"/>
    <n v="262"/>
    <x v="85"/>
    <x v="12"/>
    <x v="2"/>
    <x v="0"/>
  </r>
  <r>
    <x v="117"/>
    <x v="2"/>
    <x v="117"/>
    <n v="314"/>
    <x v="86"/>
    <x v="12"/>
    <x v="1"/>
    <x v="0"/>
  </r>
  <r>
    <x v="118"/>
    <x v="0"/>
    <x v="118"/>
    <n v="320"/>
    <x v="38"/>
    <x v="11"/>
    <x v="11"/>
    <x v="0"/>
  </r>
  <r>
    <x v="119"/>
    <x v="2"/>
    <x v="119"/>
    <n v="334"/>
    <x v="31"/>
    <x v="3"/>
    <x v="8"/>
    <x v="0"/>
  </r>
  <r>
    <x v="120"/>
    <x v="6"/>
    <x v="120"/>
    <n v="430"/>
    <x v="87"/>
    <x v="3"/>
    <x v="5"/>
    <x v="0"/>
  </r>
  <r>
    <x v="121"/>
    <x v="6"/>
    <x v="121"/>
    <n v="245"/>
    <x v="88"/>
    <x v="0"/>
    <x v="9"/>
    <x v="0"/>
  </r>
  <r>
    <x v="122"/>
    <x v="0"/>
    <x v="122"/>
    <n v="338"/>
    <x v="11"/>
    <x v="12"/>
    <x v="2"/>
    <x v="0"/>
  </r>
  <r>
    <x v="123"/>
    <x v="6"/>
    <x v="123"/>
    <n v="175"/>
    <x v="48"/>
    <x v="3"/>
    <x v="1"/>
    <x v="0"/>
  </r>
  <r>
    <x v="124"/>
    <x v="6"/>
    <x v="124"/>
    <n v="108"/>
    <x v="89"/>
    <x v="11"/>
    <x v="4"/>
    <x v="0"/>
  </r>
  <r>
    <x v="125"/>
    <x v="1"/>
    <x v="125"/>
    <n v="173"/>
    <x v="0"/>
    <x v="4"/>
    <x v="11"/>
    <x v="0"/>
  </r>
  <r>
    <x v="126"/>
    <x v="0"/>
    <x v="126"/>
    <n v="500"/>
    <x v="90"/>
    <x v="5"/>
    <x v="9"/>
    <x v="1"/>
  </r>
  <r>
    <x v="127"/>
    <x v="3"/>
    <x v="127"/>
    <n v="352"/>
    <x v="91"/>
    <x v="5"/>
    <x v="2"/>
    <x v="0"/>
  </r>
  <r>
    <x v="128"/>
    <x v="3"/>
    <x v="128"/>
    <n v="329"/>
    <x v="12"/>
    <x v="4"/>
    <x v="8"/>
    <x v="0"/>
  </r>
  <r>
    <x v="129"/>
    <x v="6"/>
    <x v="129"/>
    <n v="106"/>
    <x v="92"/>
    <x v="6"/>
    <x v="3"/>
    <x v="0"/>
  </r>
  <r>
    <x v="130"/>
    <x v="3"/>
    <x v="130"/>
    <n v="273"/>
    <x v="79"/>
    <x v="11"/>
    <x v="7"/>
    <x v="0"/>
  </r>
  <r>
    <x v="131"/>
    <x v="3"/>
    <x v="131"/>
    <n v="240"/>
    <x v="60"/>
    <x v="3"/>
    <x v="11"/>
    <x v="0"/>
  </r>
  <r>
    <x v="132"/>
    <x v="6"/>
    <x v="132"/>
    <n v="267"/>
    <x v="11"/>
    <x v="8"/>
    <x v="8"/>
    <x v="0"/>
  </r>
  <r>
    <x v="133"/>
    <x v="3"/>
    <x v="133"/>
    <n v="269"/>
    <x v="93"/>
    <x v="11"/>
    <x v="2"/>
    <x v="0"/>
  </r>
  <r>
    <x v="134"/>
    <x v="2"/>
    <x v="134"/>
    <n v="492"/>
    <x v="33"/>
    <x v="10"/>
    <x v="11"/>
    <x v="1"/>
  </r>
  <r>
    <x v="135"/>
    <x v="4"/>
    <x v="135"/>
    <n v="382"/>
    <x v="74"/>
    <x v="4"/>
    <x v="10"/>
    <x v="0"/>
  </r>
  <r>
    <x v="136"/>
    <x v="0"/>
    <x v="136"/>
    <n v="221"/>
    <x v="36"/>
    <x v="9"/>
    <x v="9"/>
    <x v="0"/>
  </r>
  <r>
    <x v="137"/>
    <x v="4"/>
    <x v="137"/>
    <n v="293"/>
    <x v="18"/>
    <x v="1"/>
    <x v="2"/>
    <x v="0"/>
  </r>
  <r>
    <x v="138"/>
    <x v="6"/>
    <x v="138"/>
    <n v="104"/>
    <x v="48"/>
    <x v="2"/>
    <x v="10"/>
    <x v="0"/>
  </r>
  <r>
    <x v="139"/>
    <x v="1"/>
    <x v="139"/>
    <n v="128"/>
    <x v="94"/>
    <x v="4"/>
    <x v="6"/>
    <x v="0"/>
  </r>
  <r>
    <x v="140"/>
    <x v="0"/>
    <x v="140"/>
    <n v="264"/>
    <x v="0"/>
    <x v="8"/>
    <x v="1"/>
    <x v="0"/>
  </r>
  <r>
    <x v="141"/>
    <x v="6"/>
    <x v="141"/>
    <n v="438"/>
    <x v="95"/>
    <x v="3"/>
    <x v="3"/>
    <x v="0"/>
  </r>
  <r>
    <x v="142"/>
    <x v="1"/>
    <x v="142"/>
    <n v="235"/>
    <x v="96"/>
    <x v="8"/>
    <x v="9"/>
    <x v="0"/>
  </r>
  <r>
    <x v="143"/>
    <x v="4"/>
    <x v="143"/>
    <n v="464"/>
    <x v="31"/>
    <x v="8"/>
    <x v="11"/>
    <x v="0"/>
  </r>
  <r>
    <x v="144"/>
    <x v="6"/>
    <x v="144"/>
    <n v="420"/>
    <x v="97"/>
    <x v="12"/>
    <x v="7"/>
    <x v="0"/>
  </r>
  <r>
    <x v="145"/>
    <x v="0"/>
    <x v="145"/>
    <n v="441"/>
    <x v="2"/>
    <x v="12"/>
    <x v="8"/>
    <x v="0"/>
  </r>
  <r>
    <x v="146"/>
    <x v="0"/>
    <x v="146"/>
    <n v="244"/>
    <x v="95"/>
    <x v="0"/>
    <x v="4"/>
    <x v="0"/>
  </r>
  <r>
    <x v="147"/>
    <x v="5"/>
    <x v="147"/>
    <n v="426"/>
    <x v="0"/>
    <x v="4"/>
    <x v="8"/>
    <x v="0"/>
  </r>
  <r>
    <x v="148"/>
    <x v="2"/>
    <x v="148"/>
    <n v="316"/>
    <x v="70"/>
    <x v="0"/>
    <x v="11"/>
    <x v="0"/>
  </r>
  <r>
    <x v="149"/>
    <x v="3"/>
    <x v="149"/>
    <n v="400"/>
    <x v="98"/>
    <x v="4"/>
    <x v="3"/>
    <x v="0"/>
  </r>
  <r>
    <x v="150"/>
    <x v="1"/>
    <x v="150"/>
    <n v="231"/>
    <x v="26"/>
    <x v="11"/>
    <x v="8"/>
    <x v="0"/>
  </r>
  <r>
    <x v="151"/>
    <x v="5"/>
    <x v="151"/>
    <n v="391"/>
    <x v="71"/>
    <x v="2"/>
    <x v="1"/>
    <x v="0"/>
  </r>
  <r>
    <x v="152"/>
    <x v="3"/>
    <x v="152"/>
    <n v="169"/>
    <x v="49"/>
    <x v="8"/>
    <x v="3"/>
    <x v="0"/>
  </r>
  <r>
    <x v="153"/>
    <x v="3"/>
    <x v="153"/>
    <n v="351"/>
    <x v="91"/>
    <x v="11"/>
    <x v="2"/>
    <x v="0"/>
  </r>
  <r>
    <x v="154"/>
    <x v="6"/>
    <x v="154"/>
    <n v="374"/>
    <x v="99"/>
    <x v="1"/>
    <x v="10"/>
    <x v="0"/>
  </r>
  <r>
    <x v="155"/>
    <x v="3"/>
    <x v="155"/>
    <n v="463"/>
    <x v="54"/>
    <x v="5"/>
    <x v="4"/>
    <x v="0"/>
  </r>
  <r>
    <x v="156"/>
    <x v="2"/>
    <x v="156"/>
    <n v="281"/>
    <x v="70"/>
    <x v="7"/>
    <x v="0"/>
    <x v="0"/>
  </r>
  <r>
    <x v="157"/>
    <x v="0"/>
    <x v="157"/>
    <n v="266"/>
    <x v="100"/>
    <x v="10"/>
    <x v="11"/>
    <x v="0"/>
  </r>
  <r>
    <x v="158"/>
    <x v="5"/>
    <x v="158"/>
    <n v="190"/>
    <x v="4"/>
    <x v="4"/>
    <x v="5"/>
    <x v="0"/>
  </r>
  <r>
    <x v="159"/>
    <x v="3"/>
    <x v="159"/>
    <n v="301"/>
    <x v="96"/>
    <x v="1"/>
    <x v="0"/>
    <x v="0"/>
  </r>
  <r>
    <x v="160"/>
    <x v="6"/>
    <x v="160"/>
    <n v="445"/>
    <x v="41"/>
    <x v="5"/>
    <x v="8"/>
    <x v="0"/>
  </r>
  <r>
    <x v="161"/>
    <x v="2"/>
    <x v="161"/>
    <n v="118"/>
    <x v="65"/>
    <x v="3"/>
    <x v="11"/>
    <x v="0"/>
  </r>
  <r>
    <x v="162"/>
    <x v="4"/>
    <x v="162"/>
    <n v="138"/>
    <x v="13"/>
    <x v="6"/>
    <x v="10"/>
    <x v="0"/>
  </r>
  <r>
    <x v="163"/>
    <x v="0"/>
    <x v="163"/>
    <n v="225"/>
    <x v="68"/>
    <x v="2"/>
    <x v="6"/>
    <x v="0"/>
  </r>
  <r>
    <x v="164"/>
    <x v="0"/>
    <x v="164"/>
    <n v="272"/>
    <x v="101"/>
    <x v="0"/>
    <x v="10"/>
    <x v="0"/>
  </r>
  <r>
    <x v="165"/>
    <x v="5"/>
    <x v="165"/>
    <n v="240"/>
    <x v="76"/>
    <x v="0"/>
    <x v="5"/>
    <x v="0"/>
  </r>
  <r>
    <x v="166"/>
    <x v="0"/>
    <x v="166"/>
    <n v="341"/>
    <x v="30"/>
    <x v="11"/>
    <x v="4"/>
    <x v="0"/>
  </r>
  <r>
    <x v="167"/>
    <x v="3"/>
    <x v="167"/>
    <n v="319"/>
    <x v="102"/>
    <x v="12"/>
    <x v="10"/>
    <x v="0"/>
  </r>
  <r>
    <x v="168"/>
    <x v="6"/>
    <x v="168"/>
    <n v="225"/>
    <x v="76"/>
    <x v="5"/>
    <x v="7"/>
    <x v="0"/>
  </r>
  <r>
    <x v="169"/>
    <x v="0"/>
    <x v="169"/>
    <n v="157"/>
    <x v="103"/>
    <x v="6"/>
    <x v="6"/>
    <x v="0"/>
  </r>
  <r>
    <x v="170"/>
    <x v="0"/>
    <x v="170"/>
    <n v="247"/>
    <x v="63"/>
    <x v="1"/>
    <x v="0"/>
    <x v="0"/>
  </r>
  <r>
    <x v="171"/>
    <x v="4"/>
    <x v="171"/>
    <n v="416"/>
    <x v="104"/>
    <x v="2"/>
    <x v="2"/>
    <x v="0"/>
  </r>
  <r>
    <x v="172"/>
    <x v="4"/>
    <x v="172"/>
    <n v="482"/>
    <x v="2"/>
    <x v="5"/>
    <x v="1"/>
    <x v="1"/>
  </r>
  <r>
    <x v="173"/>
    <x v="1"/>
    <x v="173"/>
    <n v="460"/>
    <x v="8"/>
    <x v="6"/>
    <x v="7"/>
    <x v="0"/>
  </r>
  <r>
    <x v="174"/>
    <x v="2"/>
    <x v="174"/>
    <n v="100"/>
    <x v="71"/>
    <x v="7"/>
    <x v="6"/>
    <x v="0"/>
  </r>
  <r>
    <x v="175"/>
    <x v="3"/>
    <x v="175"/>
    <n v="486"/>
    <x v="71"/>
    <x v="4"/>
    <x v="2"/>
    <x v="1"/>
  </r>
  <r>
    <x v="176"/>
    <x v="0"/>
    <x v="176"/>
    <n v="447"/>
    <x v="38"/>
    <x v="0"/>
    <x v="2"/>
    <x v="0"/>
  </r>
  <r>
    <x v="177"/>
    <x v="0"/>
    <x v="177"/>
    <n v="289"/>
    <x v="71"/>
    <x v="1"/>
    <x v="11"/>
    <x v="0"/>
  </r>
  <r>
    <x v="178"/>
    <x v="6"/>
    <x v="178"/>
    <n v="290"/>
    <x v="74"/>
    <x v="0"/>
    <x v="6"/>
    <x v="0"/>
  </r>
  <r>
    <x v="179"/>
    <x v="1"/>
    <x v="179"/>
    <n v="468"/>
    <x v="36"/>
    <x v="1"/>
    <x v="4"/>
    <x v="0"/>
  </r>
  <r>
    <x v="180"/>
    <x v="2"/>
    <x v="180"/>
    <n v="411"/>
    <x v="29"/>
    <x v="11"/>
    <x v="8"/>
    <x v="0"/>
  </r>
  <r>
    <x v="181"/>
    <x v="1"/>
    <x v="181"/>
    <n v="216"/>
    <x v="105"/>
    <x v="12"/>
    <x v="5"/>
    <x v="0"/>
  </r>
  <r>
    <x v="182"/>
    <x v="5"/>
    <x v="182"/>
    <n v="233"/>
    <x v="106"/>
    <x v="1"/>
    <x v="5"/>
    <x v="0"/>
  </r>
  <r>
    <x v="183"/>
    <x v="2"/>
    <x v="183"/>
    <n v="157"/>
    <x v="22"/>
    <x v="0"/>
    <x v="0"/>
    <x v="0"/>
  </r>
  <r>
    <x v="184"/>
    <x v="0"/>
    <x v="184"/>
    <n v="143"/>
    <x v="11"/>
    <x v="11"/>
    <x v="0"/>
    <x v="0"/>
  </r>
  <r>
    <x v="185"/>
    <x v="0"/>
    <x v="185"/>
    <n v="272"/>
    <x v="107"/>
    <x v="1"/>
    <x v="5"/>
    <x v="0"/>
  </r>
  <r>
    <x v="186"/>
    <x v="2"/>
    <x v="186"/>
    <n v="259"/>
    <x v="14"/>
    <x v="7"/>
    <x v="10"/>
    <x v="0"/>
  </r>
  <r>
    <x v="187"/>
    <x v="0"/>
    <x v="187"/>
    <n v="272"/>
    <x v="2"/>
    <x v="12"/>
    <x v="4"/>
    <x v="0"/>
  </r>
  <r>
    <x v="188"/>
    <x v="3"/>
    <x v="188"/>
    <n v="416"/>
    <x v="89"/>
    <x v="1"/>
    <x v="10"/>
    <x v="0"/>
  </r>
  <r>
    <x v="189"/>
    <x v="2"/>
    <x v="189"/>
    <n v="402"/>
    <x v="5"/>
    <x v="11"/>
    <x v="10"/>
    <x v="0"/>
  </r>
  <r>
    <x v="190"/>
    <x v="1"/>
    <x v="190"/>
    <n v="248"/>
    <x v="108"/>
    <x v="3"/>
    <x v="1"/>
    <x v="0"/>
  </r>
  <r>
    <x v="191"/>
    <x v="2"/>
    <x v="191"/>
    <n v="179"/>
    <x v="82"/>
    <x v="5"/>
    <x v="9"/>
    <x v="0"/>
  </r>
  <r>
    <x v="192"/>
    <x v="0"/>
    <x v="192"/>
    <n v="473"/>
    <x v="84"/>
    <x v="9"/>
    <x v="8"/>
    <x v="1"/>
  </r>
  <r>
    <x v="193"/>
    <x v="3"/>
    <x v="193"/>
    <n v="312"/>
    <x v="47"/>
    <x v="6"/>
    <x v="1"/>
    <x v="0"/>
  </r>
  <r>
    <x v="194"/>
    <x v="3"/>
    <x v="194"/>
    <n v="302"/>
    <x v="35"/>
    <x v="9"/>
    <x v="11"/>
    <x v="0"/>
  </r>
  <r>
    <x v="195"/>
    <x v="5"/>
    <x v="195"/>
    <n v="351"/>
    <x v="90"/>
    <x v="3"/>
    <x v="9"/>
    <x v="0"/>
  </r>
  <r>
    <x v="196"/>
    <x v="1"/>
    <x v="196"/>
    <n v="328"/>
    <x v="52"/>
    <x v="9"/>
    <x v="9"/>
    <x v="0"/>
  </r>
  <r>
    <x v="197"/>
    <x v="4"/>
    <x v="197"/>
    <n v="263"/>
    <x v="109"/>
    <x v="3"/>
    <x v="6"/>
    <x v="0"/>
  </r>
  <r>
    <x v="198"/>
    <x v="4"/>
    <x v="198"/>
    <n v="326"/>
    <x v="90"/>
    <x v="2"/>
    <x v="4"/>
    <x v="0"/>
  </r>
  <r>
    <x v="199"/>
    <x v="2"/>
    <x v="199"/>
    <n v="246"/>
    <x v="23"/>
    <x v="3"/>
    <x v="4"/>
    <x v="0"/>
  </r>
  <r>
    <x v="200"/>
    <x v="5"/>
    <x v="200"/>
    <n v="119"/>
    <x v="21"/>
    <x v="3"/>
    <x v="9"/>
    <x v="0"/>
  </r>
  <r>
    <x v="201"/>
    <x v="6"/>
    <x v="201"/>
    <n v="146"/>
    <x v="110"/>
    <x v="8"/>
    <x v="10"/>
    <x v="0"/>
  </r>
  <r>
    <x v="202"/>
    <x v="2"/>
    <x v="202"/>
    <n v="332"/>
    <x v="111"/>
    <x v="3"/>
    <x v="6"/>
    <x v="0"/>
  </r>
  <r>
    <x v="203"/>
    <x v="5"/>
    <x v="203"/>
    <n v="404"/>
    <x v="112"/>
    <x v="7"/>
    <x v="8"/>
    <x v="0"/>
  </r>
  <r>
    <x v="204"/>
    <x v="1"/>
    <x v="204"/>
    <n v="113"/>
    <x v="113"/>
    <x v="5"/>
    <x v="9"/>
    <x v="0"/>
  </r>
  <r>
    <x v="205"/>
    <x v="1"/>
    <x v="205"/>
    <n v="242"/>
    <x v="93"/>
    <x v="4"/>
    <x v="7"/>
    <x v="0"/>
  </r>
  <r>
    <x v="206"/>
    <x v="1"/>
    <x v="206"/>
    <n v="100"/>
    <x v="22"/>
    <x v="1"/>
    <x v="0"/>
    <x v="0"/>
  </r>
  <r>
    <x v="207"/>
    <x v="1"/>
    <x v="207"/>
    <n v="472"/>
    <x v="51"/>
    <x v="6"/>
    <x v="0"/>
    <x v="1"/>
  </r>
  <r>
    <x v="208"/>
    <x v="1"/>
    <x v="208"/>
    <n v="153"/>
    <x v="52"/>
    <x v="12"/>
    <x v="1"/>
    <x v="0"/>
  </r>
  <r>
    <x v="209"/>
    <x v="5"/>
    <x v="209"/>
    <n v="473"/>
    <x v="35"/>
    <x v="5"/>
    <x v="11"/>
    <x v="1"/>
  </r>
  <r>
    <x v="210"/>
    <x v="5"/>
    <x v="210"/>
    <n v="358"/>
    <x v="56"/>
    <x v="0"/>
    <x v="3"/>
    <x v="0"/>
  </r>
  <r>
    <x v="211"/>
    <x v="3"/>
    <x v="211"/>
    <n v="243"/>
    <x v="114"/>
    <x v="4"/>
    <x v="3"/>
    <x v="0"/>
  </r>
  <r>
    <x v="212"/>
    <x v="4"/>
    <x v="212"/>
    <n v="111"/>
    <x v="6"/>
    <x v="2"/>
    <x v="0"/>
    <x v="0"/>
  </r>
  <r>
    <x v="213"/>
    <x v="0"/>
    <x v="213"/>
    <n v="429"/>
    <x v="36"/>
    <x v="2"/>
    <x v="2"/>
    <x v="0"/>
  </r>
  <r>
    <x v="214"/>
    <x v="1"/>
    <x v="214"/>
    <n v="323"/>
    <x v="90"/>
    <x v="10"/>
    <x v="1"/>
    <x v="0"/>
  </r>
  <r>
    <x v="215"/>
    <x v="6"/>
    <x v="215"/>
    <n v="371"/>
    <x v="109"/>
    <x v="3"/>
    <x v="3"/>
    <x v="0"/>
  </r>
  <r>
    <x v="216"/>
    <x v="0"/>
    <x v="216"/>
    <n v="457"/>
    <x v="56"/>
    <x v="5"/>
    <x v="0"/>
    <x v="0"/>
  </r>
  <r>
    <x v="217"/>
    <x v="5"/>
    <x v="217"/>
    <n v="255"/>
    <x v="115"/>
    <x v="11"/>
    <x v="11"/>
    <x v="0"/>
  </r>
  <r>
    <x v="218"/>
    <x v="6"/>
    <x v="218"/>
    <n v="472"/>
    <x v="11"/>
    <x v="8"/>
    <x v="3"/>
    <x v="1"/>
  </r>
  <r>
    <x v="219"/>
    <x v="6"/>
    <x v="219"/>
    <n v="107"/>
    <x v="101"/>
    <x v="9"/>
    <x v="10"/>
    <x v="0"/>
  </r>
  <r>
    <x v="220"/>
    <x v="6"/>
    <x v="220"/>
    <n v="221"/>
    <x v="24"/>
    <x v="0"/>
    <x v="10"/>
    <x v="0"/>
  </r>
  <r>
    <x v="221"/>
    <x v="3"/>
    <x v="221"/>
    <n v="447"/>
    <x v="84"/>
    <x v="2"/>
    <x v="4"/>
    <x v="0"/>
  </r>
  <r>
    <x v="222"/>
    <x v="5"/>
    <x v="222"/>
    <n v="263"/>
    <x v="6"/>
    <x v="6"/>
    <x v="4"/>
    <x v="0"/>
  </r>
  <r>
    <x v="223"/>
    <x v="6"/>
    <x v="223"/>
    <n v="189"/>
    <x v="103"/>
    <x v="2"/>
    <x v="8"/>
    <x v="0"/>
  </r>
  <r>
    <x v="224"/>
    <x v="1"/>
    <x v="224"/>
    <n v="235"/>
    <x v="116"/>
    <x v="12"/>
    <x v="9"/>
    <x v="0"/>
  </r>
  <r>
    <x v="225"/>
    <x v="2"/>
    <x v="225"/>
    <n v="285"/>
    <x v="117"/>
    <x v="1"/>
    <x v="7"/>
    <x v="0"/>
  </r>
  <r>
    <x v="226"/>
    <x v="6"/>
    <x v="226"/>
    <n v="415"/>
    <x v="36"/>
    <x v="2"/>
    <x v="4"/>
    <x v="0"/>
  </r>
  <r>
    <x v="227"/>
    <x v="3"/>
    <x v="227"/>
    <n v="277"/>
    <x v="118"/>
    <x v="12"/>
    <x v="3"/>
    <x v="0"/>
  </r>
  <r>
    <x v="228"/>
    <x v="0"/>
    <x v="228"/>
    <n v="127"/>
    <x v="48"/>
    <x v="5"/>
    <x v="6"/>
    <x v="0"/>
  </r>
  <r>
    <x v="229"/>
    <x v="5"/>
    <x v="229"/>
    <n v="319"/>
    <x v="33"/>
    <x v="5"/>
    <x v="0"/>
    <x v="0"/>
  </r>
  <r>
    <x v="230"/>
    <x v="3"/>
    <x v="230"/>
    <n v="456"/>
    <x v="85"/>
    <x v="8"/>
    <x v="6"/>
    <x v="0"/>
  </r>
  <r>
    <x v="231"/>
    <x v="6"/>
    <x v="231"/>
    <n v="140"/>
    <x v="50"/>
    <x v="10"/>
    <x v="11"/>
    <x v="0"/>
  </r>
  <r>
    <x v="232"/>
    <x v="5"/>
    <x v="232"/>
    <n v="327"/>
    <x v="107"/>
    <x v="4"/>
    <x v="4"/>
    <x v="0"/>
  </r>
  <r>
    <x v="233"/>
    <x v="2"/>
    <x v="233"/>
    <n v="291"/>
    <x v="54"/>
    <x v="2"/>
    <x v="7"/>
    <x v="0"/>
  </r>
  <r>
    <x v="234"/>
    <x v="6"/>
    <x v="234"/>
    <n v="244"/>
    <x v="119"/>
    <x v="6"/>
    <x v="11"/>
    <x v="0"/>
  </r>
  <r>
    <x v="235"/>
    <x v="3"/>
    <x v="235"/>
    <n v="300"/>
    <x v="68"/>
    <x v="2"/>
    <x v="2"/>
    <x v="0"/>
  </r>
  <r>
    <x v="236"/>
    <x v="4"/>
    <x v="236"/>
    <n v="311"/>
    <x v="120"/>
    <x v="10"/>
    <x v="2"/>
    <x v="0"/>
  </r>
  <r>
    <x v="237"/>
    <x v="1"/>
    <x v="237"/>
    <n v="319"/>
    <x v="121"/>
    <x v="6"/>
    <x v="6"/>
    <x v="0"/>
  </r>
  <r>
    <x v="238"/>
    <x v="0"/>
    <x v="238"/>
    <n v="339"/>
    <x v="122"/>
    <x v="7"/>
    <x v="9"/>
    <x v="0"/>
  </r>
  <r>
    <x v="239"/>
    <x v="3"/>
    <x v="239"/>
    <n v="496"/>
    <x v="26"/>
    <x v="3"/>
    <x v="1"/>
    <x v="1"/>
  </r>
  <r>
    <x v="240"/>
    <x v="5"/>
    <x v="240"/>
    <n v="145"/>
    <x v="114"/>
    <x v="4"/>
    <x v="9"/>
    <x v="0"/>
  </r>
  <r>
    <x v="241"/>
    <x v="6"/>
    <x v="241"/>
    <n v="134"/>
    <x v="123"/>
    <x v="7"/>
    <x v="3"/>
    <x v="0"/>
  </r>
  <r>
    <x v="242"/>
    <x v="1"/>
    <x v="242"/>
    <n v="352"/>
    <x v="3"/>
    <x v="10"/>
    <x v="10"/>
    <x v="0"/>
  </r>
  <r>
    <x v="243"/>
    <x v="6"/>
    <x v="243"/>
    <n v="489"/>
    <x v="49"/>
    <x v="2"/>
    <x v="8"/>
    <x v="1"/>
  </r>
  <r>
    <x v="244"/>
    <x v="5"/>
    <x v="244"/>
    <n v="181"/>
    <x v="63"/>
    <x v="10"/>
    <x v="9"/>
    <x v="0"/>
  </r>
  <r>
    <x v="245"/>
    <x v="6"/>
    <x v="245"/>
    <n v="470"/>
    <x v="97"/>
    <x v="10"/>
    <x v="8"/>
    <x v="0"/>
  </r>
  <r>
    <x v="246"/>
    <x v="4"/>
    <x v="246"/>
    <n v="355"/>
    <x v="102"/>
    <x v="4"/>
    <x v="8"/>
    <x v="0"/>
  </r>
  <r>
    <x v="247"/>
    <x v="1"/>
    <x v="247"/>
    <n v="296"/>
    <x v="97"/>
    <x v="7"/>
    <x v="7"/>
    <x v="0"/>
  </r>
  <r>
    <x v="248"/>
    <x v="1"/>
    <x v="248"/>
    <n v="402"/>
    <x v="66"/>
    <x v="9"/>
    <x v="4"/>
    <x v="0"/>
  </r>
  <r>
    <x v="249"/>
    <x v="5"/>
    <x v="249"/>
    <n v="109"/>
    <x v="7"/>
    <x v="2"/>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04D2D3-1701-4152-AA32-2B04D7292F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C3:AD16" firstHeaderRow="1" firstDataRow="1" firstDataCol="1"/>
  <pivotFields count="8">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sortType="ascending">
      <items count="8">
        <item x="6"/>
        <item x="4"/>
        <item x="3"/>
        <item x="1"/>
        <item x="2"/>
        <item x="5"/>
        <item x="0"/>
        <item t="default"/>
      </items>
    </pivotField>
    <pivotField showAll="0"/>
    <pivotField showAll="0"/>
    <pivotField dataField="1" showAll="0">
      <items count="125">
        <item x="33"/>
        <item x="26"/>
        <item x="35"/>
        <item x="3"/>
        <item x="22"/>
        <item x="98"/>
        <item x="74"/>
        <item x="123"/>
        <item x="9"/>
        <item x="44"/>
        <item x="102"/>
        <item x="95"/>
        <item x="100"/>
        <item x="65"/>
        <item x="99"/>
        <item x="116"/>
        <item x="117"/>
        <item x="82"/>
        <item x="83"/>
        <item x="27"/>
        <item x="76"/>
        <item x="11"/>
        <item x="15"/>
        <item x="96"/>
        <item x="61"/>
        <item x="1"/>
        <item x="112"/>
        <item x="37"/>
        <item x="5"/>
        <item x="38"/>
        <item x="93"/>
        <item x="119"/>
        <item x="54"/>
        <item x="41"/>
        <item x="113"/>
        <item x="105"/>
        <item x="69"/>
        <item x="101"/>
        <item x="87"/>
        <item x="86"/>
        <item x="48"/>
        <item x="92"/>
        <item x="43"/>
        <item x="34"/>
        <item x="58"/>
        <item x="28"/>
        <item x="45"/>
        <item x="21"/>
        <item x="0"/>
        <item x="46"/>
        <item x="14"/>
        <item x="79"/>
        <item x="109"/>
        <item x="12"/>
        <item x="107"/>
        <item x="7"/>
        <item x="51"/>
        <item x="104"/>
        <item x="103"/>
        <item x="67"/>
        <item x="84"/>
        <item x="40"/>
        <item x="88"/>
        <item x="64"/>
        <item x="52"/>
        <item x="122"/>
        <item x="31"/>
        <item x="56"/>
        <item x="72"/>
        <item x="60"/>
        <item x="55"/>
        <item x="29"/>
        <item x="66"/>
        <item x="10"/>
        <item x="13"/>
        <item x="85"/>
        <item x="57"/>
        <item x="39"/>
        <item x="78"/>
        <item x="90"/>
        <item x="23"/>
        <item x="77"/>
        <item x="16"/>
        <item x="18"/>
        <item x="121"/>
        <item x="106"/>
        <item x="25"/>
        <item x="53"/>
        <item x="75"/>
        <item x="17"/>
        <item x="59"/>
        <item x="91"/>
        <item x="2"/>
        <item x="32"/>
        <item x="71"/>
        <item x="47"/>
        <item x="36"/>
        <item x="70"/>
        <item x="6"/>
        <item x="4"/>
        <item x="89"/>
        <item x="80"/>
        <item x="42"/>
        <item x="68"/>
        <item x="94"/>
        <item x="19"/>
        <item x="97"/>
        <item x="111"/>
        <item x="62"/>
        <item x="24"/>
        <item x="114"/>
        <item x="115"/>
        <item x="110"/>
        <item x="63"/>
        <item x="120"/>
        <item x="118"/>
        <item x="50"/>
        <item x="73"/>
        <item x="30"/>
        <item x="8"/>
        <item x="81"/>
        <item x="20"/>
        <item x="108"/>
        <item x="49"/>
        <item t="default"/>
      </items>
    </pivotField>
    <pivotField showAll="0"/>
    <pivotField axis="axisRow" showAll="0">
      <items count="13">
        <item x="4"/>
        <item x="1"/>
        <item x="0"/>
        <item x="5"/>
        <item x="11"/>
        <item x="2"/>
        <item x="7"/>
        <item x="6"/>
        <item x="9"/>
        <item x="8"/>
        <item x="10"/>
        <item x="3"/>
        <item t="default"/>
      </items>
    </pivotField>
    <pivotField showAll="0">
      <items count="3">
        <item x="1"/>
        <item x="0"/>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Average of Gas_Usage" fld="4" subtotal="average" baseField="6" baseItem="10"/>
  </dataFields>
  <chartFormats count="2">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713FE-720F-487E-B34D-E0380A8D08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U3:V6" firstHeaderRow="1" firstDataRow="1" firstDataCol="1"/>
  <pivotFields count="8">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sortType="ascending">
      <items count="8">
        <item x="6"/>
        <item x="4"/>
        <item x="3"/>
        <item x="1"/>
        <item x="2"/>
        <item x="5"/>
        <item x="0"/>
        <item t="default"/>
      </items>
    </pivotField>
    <pivotField showAll="0"/>
    <pivotField showAll="0"/>
    <pivotField showAll="0"/>
    <pivotField showAll="0"/>
    <pivotField showAll="0">
      <items count="13">
        <item x="4"/>
        <item x="1"/>
        <item x="0"/>
        <item x="5"/>
        <item x="11"/>
        <item x="2"/>
        <item x="7"/>
        <item x="6"/>
        <item x="9"/>
        <item x="8"/>
        <item x="10"/>
        <item x="3"/>
        <item t="default"/>
      </items>
    </pivotField>
    <pivotField axis="axisRow" showAll="0">
      <items count="3">
        <item x="1"/>
        <item x="0"/>
        <item t="default"/>
      </items>
    </pivotField>
  </pivotFields>
  <rowFields count="1">
    <field x="7"/>
  </rowFields>
  <rowItems count="3">
    <i>
      <x/>
    </i>
    <i>
      <x v="1"/>
    </i>
    <i t="grand">
      <x/>
    </i>
  </rowItems>
  <colItems count="1">
    <i/>
  </colItems>
  <dataFields count="1">
    <dataField name="Count of Household_ID" fld="0"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E74FF-10C8-49B1-8526-96CBB1060F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3:S16" firstHeaderRow="1" firstDataRow="1" firstDataCol="1"/>
  <pivotFields count="8">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sortType="ascending">
      <items count="8">
        <item x="6"/>
        <item x="4"/>
        <item x="3"/>
        <item x="1"/>
        <item x="2"/>
        <item x="5"/>
        <item x="0"/>
        <item t="default"/>
      </items>
    </pivotField>
    <pivotField showAll="0"/>
    <pivotField dataField="1" showAll="0"/>
    <pivotField showAll="0"/>
    <pivotField showAll="0"/>
    <pivotField axis="axisRow" showAll="0">
      <items count="13">
        <item x="4"/>
        <item x="1"/>
        <item x="0"/>
        <item x="5"/>
        <item x="11"/>
        <item x="2"/>
        <item x="7"/>
        <item x="6"/>
        <item x="9"/>
        <item x="8"/>
        <item x="10"/>
        <item x="3"/>
        <item t="default"/>
      </items>
    </pivotField>
    <pivotField showAll="0">
      <items count="3">
        <item x="1"/>
        <item x="0"/>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Average of Electricity_Usage (kWh)" fld="3" subtotal="average" baseField="1" baseItem="3"/>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41206C-991E-4619-A67E-EEE92D0B66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254" firstHeaderRow="1" firstDataRow="1" firstDataCol="1"/>
  <pivotFields count="8">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sortType="ascending">
      <items count="8">
        <item x="6"/>
        <item x="4"/>
        <item x="3"/>
        <item x="1"/>
        <item x="2"/>
        <item x="5"/>
        <item x="0"/>
        <item t="default"/>
      </items>
    </pivotField>
    <pivotField axis="axisRow" showAll="0">
      <items count="251">
        <item x="126"/>
        <item x="4"/>
        <item x="203"/>
        <item x="38"/>
        <item x="50"/>
        <item x="75"/>
        <item x="161"/>
        <item x="73"/>
        <item x="27"/>
        <item x="80"/>
        <item x="32"/>
        <item x="183"/>
        <item x="213"/>
        <item x="125"/>
        <item x="99"/>
        <item x="85"/>
        <item x="142"/>
        <item x="62"/>
        <item x="209"/>
        <item x="69"/>
        <item x="109"/>
        <item x="153"/>
        <item x="102"/>
        <item x="201"/>
        <item x="132"/>
        <item x="63"/>
        <item x="163"/>
        <item x="96"/>
        <item x="6"/>
        <item x="57"/>
        <item x="208"/>
        <item x="39"/>
        <item x="200"/>
        <item x="34"/>
        <item x="159"/>
        <item x="226"/>
        <item x="249"/>
        <item x="217"/>
        <item x="246"/>
        <item x="131"/>
        <item x="158"/>
        <item x="147"/>
        <item x="170"/>
        <item x="143"/>
        <item x="36"/>
        <item x="31"/>
        <item x="65"/>
        <item x="14"/>
        <item x="67"/>
        <item x="223"/>
        <item x="167"/>
        <item x="214"/>
        <item x="59"/>
        <item x="180"/>
        <item x="25"/>
        <item x="48"/>
        <item x="46"/>
        <item x="206"/>
        <item x="218"/>
        <item x="194"/>
        <item x="95"/>
        <item x="144"/>
        <item x="116"/>
        <item x="124"/>
        <item x="154"/>
        <item x="182"/>
        <item x="103"/>
        <item x="94"/>
        <item x="210"/>
        <item x="52"/>
        <item x="78"/>
        <item x="43"/>
        <item x="87"/>
        <item x="21"/>
        <item x="174"/>
        <item x="240"/>
        <item x="137"/>
        <item x="245"/>
        <item x="84"/>
        <item x="1"/>
        <item x="22"/>
        <item x="15"/>
        <item x="198"/>
        <item x="10"/>
        <item x="134"/>
        <item x="239"/>
        <item x="3"/>
        <item x="150"/>
        <item x="197"/>
        <item x="233"/>
        <item x="66"/>
        <item x="216"/>
        <item x="157"/>
        <item x="53"/>
        <item x="45"/>
        <item x="104"/>
        <item x="177"/>
        <item x="51"/>
        <item x="189"/>
        <item x="168"/>
        <item x="199"/>
        <item x="121"/>
        <item x="68"/>
        <item x="136"/>
        <item x="123"/>
        <item x="135"/>
        <item x="20"/>
        <item x="30"/>
        <item x="235"/>
        <item x="145"/>
        <item x="118"/>
        <item x="140"/>
        <item x="16"/>
        <item x="37"/>
        <item x="74"/>
        <item x="83"/>
        <item x="5"/>
        <item x="41"/>
        <item x="191"/>
        <item x="108"/>
        <item x="243"/>
        <item x="110"/>
        <item x="92"/>
        <item x="248"/>
        <item x="23"/>
        <item x="58"/>
        <item x="56"/>
        <item x="117"/>
        <item x="119"/>
        <item x="234"/>
        <item x="90"/>
        <item x="228"/>
        <item x="148"/>
        <item x="127"/>
        <item x="93"/>
        <item x="211"/>
        <item x="112"/>
        <item x="207"/>
        <item x="88"/>
        <item x="8"/>
        <item x="47"/>
        <item x="77"/>
        <item x="120"/>
        <item x="42"/>
        <item x="98"/>
        <item x="72"/>
        <item x="106"/>
        <item x="184"/>
        <item x="105"/>
        <item x="155"/>
        <item x="172"/>
        <item x="26"/>
        <item x="82"/>
        <item x="173"/>
        <item x="133"/>
        <item x="9"/>
        <item x="156"/>
        <item x="230"/>
        <item x="60"/>
        <item x="24"/>
        <item x="139"/>
        <item x="202"/>
        <item x="18"/>
        <item x="13"/>
        <item x="171"/>
        <item x="179"/>
        <item x="215"/>
        <item x="70"/>
        <item x="185"/>
        <item x="107"/>
        <item x="129"/>
        <item x="227"/>
        <item x="152"/>
        <item x="175"/>
        <item x="7"/>
        <item x="166"/>
        <item x="188"/>
        <item x="28"/>
        <item x="115"/>
        <item x="212"/>
        <item x="237"/>
        <item x="176"/>
        <item x="113"/>
        <item x="146"/>
        <item x="187"/>
        <item x="86"/>
        <item x="64"/>
        <item x="238"/>
        <item x="219"/>
        <item x="247"/>
        <item x="232"/>
        <item x="44"/>
        <item x="81"/>
        <item x="71"/>
        <item x="225"/>
        <item x="54"/>
        <item x="236"/>
        <item x="122"/>
        <item x="11"/>
        <item x="0"/>
        <item x="244"/>
        <item x="130"/>
        <item x="19"/>
        <item x="138"/>
        <item x="128"/>
        <item x="149"/>
        <item x="186"/>
        <item x="205"/>
        <item x="61"/>
        <item x="2"/>
        <item x="221"/>
        <item x="33"/>
        <item x="17"/>
        <item x="181"/>
        <item x="242"/>
        <item x="76"/>
        <item x="222"/>
        <item x="190"/>
        <item x="164"/>
        <item x="91"/>
        <item x="89"/>
        <item x="178"/>
        <item x="160"/>
        <item x="12"/>
        <item x="35"/>
        <item x="29"/>
        <item x="192"/>
        <item x="55"/>
        <item x="224"/>
        <item x="141"/>
        <item x="193"/>
        <item x="40"/>
        <item x="220"/>
        <item x="114"/>
        <item x="195"/>
        <item x="100"/>
        <item x="111"/>
        <item x="204"/>
        <item x="101"/>
        <item x="165"/>
        <item x="49"/>
        <item x="79"/>
        <item x="162"/>
        <item x="151"/>
        <item x="169"/>
        <item x="231"/>
        <item x="229"/>
        <item x="241"/>
        <item x="196"/>
        <item x="97"/>
        <item t="default"/>
      </items>
    </pivotField>
    <pivotField dataField="1" showAll="0"/>
    <pivotField showAll="0"/>
    <pivotField showAll="0">
      <items count="14">
        <item x="2"/>
        <item x="9"/>
        <item x="7"/>
        <item x="12"/>
        <item x="0"/>
        <item x="5"/>
        <item x="6"/>
        <item x="4"/>
        <item x="1"/>
        <item x="11"/>
        <item x="3"/>
        <item x="8"/>
        <item x="10"/>
        <item t="default"/>
      </items>
    </pivotField>
    <pivotField showAll="0">
      <items count="13">
        <item x="4"/>
        <item x="1"/>
        <item x="0"/>
        <item x="5"/>
        <item x="11"/>
        <item x="2"/>
        <item x="7"/>
        <item x="6"/>
        <item x="9"/>
        <item x="8"/>
        <item x="10"/>
        <item x="3"/>
        <item t="default"/>
      </items>
    </pivotField>
    <pivotField showAll="0">
      <items count="3">
        <item x="1"/>
        <item x="0"/>
        <item t="default"/>
      </items>
    </pivotField>
  </pivotFields>
  <rowFields count="1">
    <field x="2"/>
  </rowFields>
  <rowItems count="2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t="grand">
      <x/>
    </i>
  </rowItems>
  <colItems count="1">
    <i/>
  </colItems>
  <dataFields count="1">
    <dataField name="Average of Electricity_Usage (kWh)" fld="3" subtotal="average" baseField="5"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1FDFC7-4A65-4C9C-BE34-E0E8EAA576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8" firstHeaderRow="1" firstDataRow="1" firstDataCol="1"/>
  <pivotFields count="8">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sortType="ascending">
      <items count="8">
        <item x="6"/>
        <item x="4"/>
        <item x="3"/>
        <item x="1"/>
        <item x="2"/>
        <item x="5"/>
        <item x="0"/>
        <item t="default"/>
      </items>
    </pivotField>
    <pivotField showAll="0"/>
    <pivotField dataField="1" showAll="0"/>
    <pivotField showAll="0"/>
    <pivotField axis="axisRow" showAll="0">
      <items count="14">
        <item x="2"/>
        <item x="9"/>
        <item x="7"/>
        <item x="12"/>
        <item x="0"/>
        <item x="5"/>
        <item x="6"/>
        <item x="4"/>
        <item x="1"/>
        <item x="11"/>
        <item x="3"/>
        <item x="8"/>
        <item x="10"/>
        <item t="default"/>
      </items>
    </pivotField>
    <pivotField showAll="0">
      <items count="13">
        <item x="4"/>
        <item x="1"/>
        <item x="0"/>
        <item x="5"/>
        <item x="11"/>
        <item x="2"/>
        <item x="7"/>
        <item x="6"/>
        <item x="9"/>
        <item x="8"/>
        <item x="10"/>
        <item x="3"/>
        <item t="default"/>
      </items>
    </pivotField>
    <pivotField showAll="0">
      <items count="3">
        <item x="1"/>
        <item x="0"/>
        <item t="default"/>
      </items>
    </pivotField>
  </pivotFields>
  <rowFields count="1">
    <field x="5"/>
  </rowFields>
  <rowItems count="14">
    <i>
      <x/>
    </i>
    <i>
      <x v="1"/>
    </i>
    <i>
      <x v="2"/>
    </i>
    <i>
      <x v="3"/>
    </i>
    <i>
      <x v="4"/>
    </i>
    <i>
      <x v="5"/>
    </i>
    <i>
      <x v="6"/>
    </i>
    <i>
      <x v="7"/>
    </i>
    <i>
      <x v="8"/>
    </i>
    <i>
      <x v="9"/>
    </i>
    <i>
      <x v="10"/>
    </i>
    <i>
      <x v="11"/>
    </i>
    <i>
      <x v="12"/>
    </i>
    <i t="grand">
      <x/>
    </i>
  </rowItems>
  <colItems count="1">
    <i/>
  </colItems>
  <dataFields count="1">
    <dataField name="Average of Electricity_Usage (kWh)" fld="3" subtotal="average" baseField="1" baseItem="3"/>
  </dataFields>
  <formats count="1">
    <format dxfId="3">
      <pivotArea collapsedLevelsAreSubtotals="1" fieldPosition="0">
        <references count="1">
          <reference field="5" count="0"/>
        </references>
      </pivotArea>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D20609-92B9-4396-BB5B-DBEF977708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8">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axis="axisRow" showAll="0" sortType="ascending">
      <items count="8">
        <item x="6"/>
        <item x="4"/>
        <item x="3"/>
        <item x="1"/>
        <item x="2"/>
        <item x="5"/>
        <item x="0"/>
        <item t="default"/>
      </items>
    </pivotField>
    <pivotField showAll="0"/>
    <pivotField dataField="1" showAll="0"/>
    <pivotField showAll="0"/>
    <pivotField showAll="0"/>
    <pivotField showAll="0">
      <items count="13">
        <item x="4"/>
        <item x="1"/>
        <item x="0"/>
        <item x="5"/>
        <item x="11"/>
        <item x="2"/>
        <item x="7"/>
        <item x="6"/>
        <item x="9"/>
        <item x="8"/>
        <item x="10"/>
        <item x="3"/>
        <item t="default"/>
      </items>
    </pivotField>
    <pivotField showAll="0">
      <items count="3">
        <item x="1"/>
        <item x="0"/>
        <item t="default"/>
      </items>
    </pivotField>
  </pivotFields>
  <rowFields count="1">
    <field x="1"/>
  </rowFields>
  <rowItems count="8">
    <i>
      <x/>
    </i>
    <i>
      <x v="1"/>
    </i>
    <i>
      <x v="2"/>
    </i>
    <i>
      <x v="3"/>
    </i>
    <i>
      <x v="4"/>
    </i>
    <i>
      <x v="5"/>
    </i>
    <i>
      <x v="6"/>
    </i>
    <i t="grand">
      <x/>
    </i>
  </rowItems>
  <colItems count="1">
    <i/>
  </colItems>
  <dataFields count="1">
    <dataField name="Average of Electricity_Usage (kWh)" fld="3" subtotal="average" baseField="1" baseItem="3" numFmtId="164"/>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hold_ID" xr10:uid="{E53DCF58-6A9D-4562-BEA1-47E591D9EDDC}" sourceName="Household_ID">
  <pivotTables>
    <pivotTable tabId="2" name="PivotTable4"/>
    <pivotTable tabId="2" name="PivotTable1"/>
    <pivotTable tabId="2" name="PivotTable2"/>
    <pivotTable tabId="2" name="PivotTable3"/>
    <pivotTable tabId="2" name="PivotTable5"/>
    <pivotTable tabId="2" name="PivotTable6"/>
  </pivotTables>
  <data>
    <tabular pivotCacheId="1063902829">
      <items count="2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Size" xr10:uid="{A65C2775-DF91-4ED6-9B9B-655682CCCE45}" sourceName="Family_Size">
  <pivotTables>
    <pivotTable tabId="2" name="PivotTable4"/>
    <pivotTable tabId="2" name="PivotTable1"/>
    <pivotTable tabId="2" name="PivotTable2"/>
    <pivotTable tabId="2" name="PivotTable3"/>
    <pivotTable tabId="2" name="PivotTable5"/>
    <pivotTable tabId="2" name="PivotTable6"/>
  </pivotTables>
  <data>
    <tabular pivotCacheId="1063902829">
      <items count="7">
        <i x="6" s="1"/>
        <i x="4" s="1"/>
        <i x="3" s="1"/>
        <i x="1" s="1"/>
        <i x="2"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0A41053-A9F1-4BA2-B648-3B0229758086}" sourceName="Month">
  <pivotTables>
    <pivotTable tabId="2" name="PivotTable4"/>
    <pivotTable tabId="2" name="PivotTable1"/>
    <pivotTable tabId="2" name="PivotTable2"/>
    <pivotTable tabId="2" name="PivotTable3"/>
    <pivotTable tabId="2" name="PivotTable5"/>
    <pivotTable tabId="2" name="PivotTable6"/>
  </pivotTables>
  <data>
    <tabular pivotCacheId="1063902829">
      <items count="12">
        <i x="4" s="1"/>
        <i x="1" s="1"/>
        <i x="0" s="1"/>
        <i x="5" s="1"/>
        <i x="11" s="1"/>
        <i x="2" s="1"/>
        <i x="7" s="1"/>
        <i x="6" s="1"/>
        <i x="9" s="1"/>
        <i x="8" s="1"/>
        <i x="1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category" xr10:uid="{DB7E985E-DE06-4F43-A5EF-2E81CA04022A}" sourceName="Energy_category">
  <pivotTables>
    <pivotTable tabId="2" name="PivotTable4"/>
    <pivotTable tabId="2" name="PivotTable1"/>
    <pivotTable tabId="2" name="PivotTable2"/>
    <pivotTable tabId="2" name="PivotTable3"/>
    <pivotTable tabId="2" name="PivotTable5"/>
    <pivotTable tabId="2" name="PivotTable6"/>
  </pivotTables>
  <data>
    <tabular pivotCacheId="10639028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sehold_ID" xr10:uid="{6EDE3E76-5BCE-4741-8EDA-27A6C4CA5C81}" cache="Slicer_Household_ID" caption="Household_ID" rowHeight="234950"/>
  <slicer name="Family_Size" xr10:uid="{4FF095CB-B7CC-41A7-9B10-D9FAC67865AA}" cache="Slicer_Family_Size" caption="Family_Size" rowHeight="234950"/>
  <slicer name="Month" xr10:uid="{B819D39D-5794-43D2-BC2A-25A4A15DC6F2}" cache="Slicer_Month" caption="Month" rowHeight="234950"/>
  <slicer name="Energy_category" xr10:uid="{62656922-D14F-4020-881B-E5179D88AEE1}" cache="Slicer_Energy_category" caption="Energy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y_Size 1" xr10:uid="{67C2EAD6-7D3D-4A9B-A35F-1F8CD4278B56}" cache="Slicer_Family_Size" caption="Family_Size" rowHeight="234950"/>
  <slicer name="Month 1" xr10:uid="{E2FEC40A-675D-4D00-BD80-369AB044A1CC}"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24026-B898-4FA6-8803-CC4D7317DAFC}" name="Table1" displayName="Table1" ref="A1:H251" totalsRowShown="0">
  <autoFilter ref="A1:H251" xr:uid="{B7524026-B898-4FA6-8803-CC4D7317DAFC}"/>
  <tableColumns count="8">
    <tableColumn id="1" xr3:uid="{4971CFAA-45FF-492A-97FE-9C6A322401E1}" name="Household_ID"/>
    <tableColumn id="2" xr3:uid="{C96EA0F0-CED6-4F72-B536-180098927693}" name="Family_Size"/>
    <tableColumn id="3" xr3:uid="{3B2DAE41-27B4-4A9C-B71F-BB5BE9128A50}" name="Monthly_Income"/>
    <tableColumn id="4" xr3:uid="{D65D7092-837D-4C93-B9F0-AA139B88CEA0}" name="Electricity_Usage (kWh)"/>
    <tableColumn id="5" xr3:uid="{72561548-BFE6-47E5-B286-2B144D68C8A7}" name="Gas_Usage"/>
    <tableColumn id="6" xr3:uid="{5FCD30FB-E9B5-45B7-AEEE-6B90F5505F1A}" name="Appliances_Count"/>
    <tableColumn id="7" xr3:uid="{AAAFC021-1B46-4869-B4A7-C4E35D70F8FF}" name="Month"/>
    <tableColumn id="8" xr3:uid="{9B131AE5-AD8D-4BF5-B8DF-56A164D96E09}" name="Energy_category" dataDxfId="2">
      <calculatedColumnFormula>IF(D2&gt;470.2,"HIGH ENERGY","NORMAL ENERGY")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87F8-8E6A-4EB6-83C5-81580D4B2942}">
  <dimension ref="A2:AD254"/>
  <sheetViews>
    <sheetView workbookViewId="0">
      <selection activeCell="B15" sqref="B15:B27"/>
    </sheetView>
  </sheetViews>
  <sheetFormatPr defaultRowHeight="14.4" x14ac:dyDescent="0.3"/>
  <cols>
    <col min="1" max="1" width="12.5546875" bestFit="1" customWidth="1"/>
    <col min="2" max="2" width="31" bestFit="1" customWidth="1"/>
    <col min="3" max="3" width="23" bestFit="1" customWidth="1"/>
    <col min="9" max="9" width="12.5546875" bestFit="1" customWidth="1"/>
    <col min="10" max="10" width="31" bestFit="1" customWidth="1"/>
    <col min="18" max="18" width="12.5546875" bestFit="1" customWidth="1"/>
    <col min="19" max="19" width="31" bestFit="1" customWidth="1"/>
    <col min="21" max="21" width="15.6640625" bestFit="1" customWidth="1"/>
    <col min="22" max="22" width="20.77734375" bestFit="1" customWidth="1"/>
    <col min="29" max="29" width="12.5546875" bestFit="1" customWidth="1"/>
    <col min="30" max="30" width="19.88671875" bestFit="1" customWidth="1"/>
    <col min="31" max="31" width="17.33203125" bestFit="1" customWidth="1"/>
    <col min="32" max="32" width="22.33203125" bestFit="1" customWidth="1"/>
  </cols>
  <sheetData>
    <row r="2" spans="1:30" ht="15.6" x14ac:dyDescent="0.3">
      <c r="B2" s="6" t="s">
        <v>283</v>
      </c>
      <c r="J2" s="8" t="s">
        <v>285</v>
      </c>
      <c r="Q2" s="13"/>
      <c r="R2" s="9" t="s">
        <v>286</v>
      </c>
      <c r="T2" s="11"/>
      <c r="U2" s="12" t="s">
        <v>287</v>
      </c>
      <c r="V2" s="11"/>
      <c r="AC2" s="10" t="s">
        <v>288</v>
      </c>
    </row>
    <row r="3" spans="1:30" x14ac:dyDescent="0.3">
      <c r="A3" s="1" t="s">
        <v>270</v>
      </c>
      <c r="B3" t="s">
        <v>272</v>
      </c>
      <c r="I3" s="1" t="s">
        <v>270</v>
      </c>
      <c r="J3" t="s">
        <v>272</v>
      </c>
      <c r="R3" s="1" t="s">
        <v>270</v>
      </c>
      <c r="S3" t="s">
        <v>272</v>
      </c>
      <c r="U3" s="1" t="s">
        <v>270</v>
      </c>
      <c r="V3" t="s">
        <v>281</v>
      </c>
      <c r="AC3" s="1" t="s">
        <v>270</v>
      </c>
      <c r="AD3" t="s">
        <v>282</v>
      </c>
    </row>
    <row r="4" spans="1:30" x14ac:dyDescent="0.3">
      <c r="A4" s="2">
        <v>1</v>
      </c>
      <c r="B4" s="5">
        <v>283.19444444444446</v>
      </c>
      <c r="I4" s="2">
        <v>20301</v>
      </c>
      <c r="J4" s="15">
        <v>500</v>
      </c>
      <c r="R4" s="2" t="s">
        <v>17</v>
      </c>
      <c r="S4" s="15">
        <v>300.39130434782606</v>
      </c>
      <c r="U4" s="2" t="s">
        <v>280</v>
      </c>
      <c r="V4" s="15">
        <v>25</v>
      </c>
      <c r="AC4" s="2" t="s">
        <v>17</v>
      </c>
      <c r="AD4" s="15">
        <v>133.95652173913044</v>
      </c>
    </row>
    <row r="5" spans="1:30" x14ac:dyDescent="0.3">
      <c r="A5" s="2">
        <v>2</v>
      </c>
      <c r="B5" s="5">
        <v>309.23333333333335</v>
      </c>
      <c r="I5" s="2">
        <v>20854</v>
      </c>
      <c r="J5" s="15">
        <v>346</v>
      </c>
      <c r="R5" s="2" t="s">
        <v>10</v>
      </c>
      <c r="S5" s="15">
        <v>349.16666666666669</v>
      </c>
      <c r="U5" s="2" t="s">
        <v>279</v>
      </c>
      <c r="V5" s="15">
        <v>225</v>
      </c>
      <c r="AC5" s="2" t="s">
        <v>10</v>
      </c>
      <c r="AD5" s="15">
        <v>125.75</v>
      </c>
    </row>
    <row r="6" spans="1:30" x14ac:dyDescent="0.3">
      <c r="A6" s="2">
        <v>3</v>
      </c>
      <c r="B6" s="5">
        <v>330.625</v>
      </c>
      <c r="I6" s="2">
        <v>21150</v>
      </c>
      <c r="J6" s="15">
        <v>404</v>
      </c>
      <c r="R6" s="2" t="s">
        <v>8</v>
      </c>
      <c r="S6" s="15">
        <v>271.47826086956519</v>
      </c>
      <c r="U6" s="2" t="s">
        <v>271</v>
      </c>
      <c r="V6" s="15">
        <v>250</v>
      </c>
      <c r="AC6" s="2" t="s">
        <v>8</v>
      </c>
      <c r="AD6" s="15">
        <v>119.95652173913044</v>
      </c>
    </row>
    <row r="7" spans="1:30" x14ac:dyDescent="0.3">
      <c r="A7" s="2">
        <v>4</v>
      </c>
      <c r="B7" s="5">
        <v>277.44444444444446</v>
      </c>
      <c r="I7" s="2">
        <v>21802</v>
      </c>
      <c r="J7" s="15">
        <v>189</v>
      </c>
      <c r="R7" s="2" t="s">
        <v>22</v>
      </c>
      <c r="S7" s="15">
        <v>291.92857142857144</v>
      </c>
      <c r="AC7" s="2" t="s">
        <v>22</v>
      </c>
      <c r="AD7" s="15">
        <v>118.64285714285714</v>
      </c>
    </row>
    <row r="8" spans="1:30" x14ac:dyDescent="0.3">
      <c r="A8" s="2">
        <v>5</v>
      </c>
      <c r="B8" s="5">
        <v>316.25</v>
      </c>
      <c r="I8" s="2">
        <v>22049</v>
      </c>
      <c r="J8" s="15">
        <v>263</v>
      </c>
      <c r="R8" s="2" t="s">
        <v>56</v>
      </c>
      <c r="S8" s="15">
        <v>299.3478260869565</v>
      </c>
      <c r="AC8" s="2" t="s">
        <v>56</v>
      </c>
      <c r="AD8" s="15">
        <v>125.65217391304348</v>
      </c>
    </row>
    <row r="9" spans="1:30" x14ac:dyDescent="0.3">
      <c r="A9" s="2">
        <v>6</v>
      </c>
      <c r="B9" s="5">
        <v>296.23529411764707</v>
      </c>
      <c r="I9" s="2">
        <v>22200</v>
      </c>
      <c r="J9" s="15">
        <v>161</v>
      </c>
      <c r="R9" s="2" t="s">
        <v>13</v>
      </c>
      <c r="S9" s="15">
        <v>339.2</v>
      </c>
      <c r="AC9" s="2" t="s">
        <v>13</v>
      </c>
      <c r="AD9" s="15">
        <v>118.55</v>
      </c>
    </row>
    <row r="10" spans="1:30" x14ac:dyDescent="0.3">
      <c r="A10" s="2">
        <v>7</v>
      </c>
      <c r="B10" s="5">
        <v>307.46341463414632</v>
      </c>
      <c r="I10" s="2">
        <v>22368</v>
      </c>
      <c r="J10" s="15">
        <v>118</v>
      </c>
      <c r="R10" s="2" t="s">
        <v>27</v>
      </c>
      <c r="S10" s="15">
        <v>305.92</v>
      </c>
      <c r="AC10" s="2" t="s">
        <v>27</v>
      </c>
      <c r="AD10" s="15">
        <v>122.04</v>
      </c>
    </row>
    <row r="11" spans="1:30" x14ac:dyDescent="0.3">
      <c r="A11" s="2" t="s">
        <v>271</v>
      </c>
      <c r="B11" s="5">
        <v>301.33999999999997</v>
      </c>
      <c r="I11" s="2">
        <v>22557</v>
      </c>
      <c r="J11" s="15">
        <v>372</v>
      </c>
      <c r="R11" s="2" t="s">
        <v>25</v>
      </c>
      <c r="S11" s="15">
        <v>254.3</v>
      </c>
      <c r="AC11" s="2" t="s">
        <v>25</v>
      </c>
      <c r="AD11" s="15">
        <v>126.25</v>
      </c>
    </row>
    <row r="12" spans="1:30" x14ac:dyDescent="0.3">
      <c r="I12" s="2">
        <v>22811</v>
      </c>
      <c r="J12" s="15">
        <v>194</v>
      </c>
      <c r="R12" s="2" t="s">
        <v>45</v>
      </c>
      <c r="S12" s="15">
        <v>270.05263157894734</v>
      </c>
      <c r="AC12" s="2" t="s">
        <v>45</v>
      </c>
      <c r="AD12" s="15">
        <v>126.21052631578948</v>
      </c>
    </row>
    <row r="13" spans="1:30" ht="15.6" x14ac:dyDescent="0.3">
      <c r="B13" s="7" t="s">
        <v>284</v>
      </c>
      <c r="I13" s="2">
        <v>22869</v>
      </c>
      <c r="J13" s="15">
        <v>496</v>
      </c>
      <c r="R13" s="2" t="s">
        <v>31</v>
      </c>
      <c r="S13" s="15">
        <v>340.18181818181819</v>
      </c>
      <c r="AC13" s="2" t="s">
        <v>31</v>
      </c>
      <c r="AD13" s="15">
        <v>119.22727272727273</v>
      </c>
    </row>
    <row r="14" spans="1:30" x14ac:dyDescent="0.3">
      <c r="A14" s="1" t="s">
        <v>270</v>
      </c>
      <c r="B14" t="s">
        <v>272</v>
      </c>
      <c r="I14" s="2">
        <v>22911</v>
      </c>
      <c r="J14" s="15">
        <v>134</v>
      </c>
      <c r="R14" s="2" t="s">
        <v>51</v>
      </c>
      <c r="S14" s="15">
        <v>287.05263157894734</v>
      </c>
      <c r="AC14" s="2" t="s">
        <v>51</v>
      </c>
      <c r="AD14" s="15">
        <v>111.42105263157895</v>
      </c>
    </row>
    <row r="15" spans="1:30" x14ac:dyDescent="0.3">
      <c r="A15" s="2">
        <v>2</v>
      </c>
      <c r="B15" s="5">
        <v>286.92</v>
      </c>
      <c r="I15" s="2">
        <v>23051</v>
      </c>
      <c r="J15" s="15">
        <v>157</v>
      </c>
      <c r="R15" s="2" t="s">
        <v>15</v>
      </c>
      <c r="S15" s="15">
        <v>291.27777777777777</v>
      </c>
      <c r="AC15" s="2" t="s">
        <v>15</v>
      </c>
      <c r="AD15" s="15">
        <v>129</v>
      </c>
    </row>
    <row r="16" spans="1:30" x14ac:dyDescent="0.3">
      <c r="A16" s="2">
        <v>3</v>
      </c>
      <c r="B16" s="5">
        <v>334.75</v>
      </c>
      <c r="I16" s="2">
        <v>23343</v>
      </c>
      <c r="J16" s="15">
        <v>429</v>
      </c>
      <c r="R16" s="2" t="s">
        <v>271</v>
      </c>
      <c r="S16" s="15">
        <v>301.33999999999997</v>
      </c>
      <c r="AC16" s="2" t="s">
        <v>271</v>
      </c>
      <c r="AD16" s="15">
        <v>123.264</v>
      </c>
    </row>
    <row r="17" spans="1:10" x14ac:dyDescent="0.3">
      <c r="A17" s="2">
        <v>4</v>
      </c>
      <c r="B17" s="5">
        <v>299.05263157894734</v>
      </c>
      <c r="I17" s="2">
        <v>23420</v>
      </c>
      <c r="J17" s="15">
        <v>173</v>
      </c>
    </row>
    <row r="18" spans="1:10" x14ac:dyDescent="0.3">
      <c r="A18" s="2">
        <v>5</v>
      </c>
      <c r="B18" s="5">
        <v>303.5263157894737</v>
      </c>
      <c r="I18" s="2">
        <v>23436</v>
      </c>
      <c r="J18" s="15">
        <v>198</v>
      </c>
    </row>
    <row r="19" spans="1:10" x14ac:dyDescent="0.3">
      <c r="A19" s="2">
        <v>6</v>
      </c>
      <c r="B19" s="5">
        <v>278.33333333333331</v>
      </c>
      <c r="I19" s="2">
        <v>23987</v>
      </c>
      <c r="J19" s="15">
        <v>495</v>
      </c>
    </row>
    <row r="20" spans="1:10" x14ac:dyDescent="0.3">
      <c r="A20" s="2">
        <v>7</v>
      </c>
      <c r="B20" s="5">
        <v>339.04761904761904</v>
      </c>
      <c r="I20" s="2">
        <v>24014</v>
      </c>
      <c r="J20" s="15">
        <v>235</v>
      </c>
    </row>
    <row r="21" spans="1:10" x14ac:dyDescent="0.3">
      <c r="A21" s="2">
        <v>8</v>
      </c>
      <c r="B21" s="5">
        <v>285.70588235294116</v>
      </c>
      <c r="I21" s="2">
        <v>24499</v>
      </c>
      <c r="J21" s="15">
        <v>323</v>
      </c>
    </row>
    <row r="22" spans="1:10" x14ac:dyDescent="0.3">
      <c r="A22" s="2">
        <v>9</v>
      </c>
      <c r="B22" s="5">
        <v>299.19230769230768</v>
      </c>
      <c r="I22" s="2">
        <v>25237</v>
      </c>
      <c r="J22" s="15">
        <v>473</v>
      </c>
    </row>
    <row r="23" spans="1:10" x14ac:dyDescent="0.3">
      <c r="A23" s="2">
        <v>10</v>
      </c>
      <c r="B23" s="5">
        <v>299.5263157894737</v>
      </c>
      <c r="I23" s="2">
        <v>25539</v>
      </c>
      <c r="J23" s="15">
        <v>316</v>
      </c>
    </row>
    <row r="24" spans="1:10" x14ac:dyDescent="0.3">
      <c r="A24" s="2">
        <v>11</v>
      </c>
      <c r="B24" s="5">
        <v>307.625</v>
      </c>
      <c r="I24" s="2">
        <v>25600</v>
      </c>
      <c r="J24" s="15">
        <v>280</v>
      </c>
    </row>
    <row r="25" spans="1:10" x14ac:dyDescent="0.3">
      <c r="A25" s="2">
        <v>12</v>
      </c>
      <c r="B25" s="5">
        <v>304.90909090909093</v>
      </c>
      <c r="I25" s="2">
        <v>25801</v>
      </c>
      <c r="J25" s="15">
        <v>351</v>
      </c>
    </row>
    <row r="26" spans="1:10" x14ac:dyDescent="0.3">
      <c r="A26" s="2">
        <v>13</v>
      </c>
      <c r="B26" s="5">
        <v>296.71428571428572</v>
      </c>
      <c r="I26" s="2">
        <v>25895</v>
      </c>
      <c r="J26" s="15">
        <v>478</v>
      </c>
    </row>
    <row r="27" spans="1:10" x14ac:dyDescent="0.3">
      <c r="A27" s="2">
        <v>14</v>
      </c>
      <c r="B27" s="5">
        <v>295.78947368421052</v>
      </c>
      <c r="I27" s="2">
        <v>25949</v>
      </c>
      <c r="J27" s="15">
        <v>146</v>
      </c>
    </row>
    <row r="28" spans="1:10" x14ac:dyDescent="0.3">
      <c r="A28" s="2" t="s">
        <v>271</v>
      </c>
      <c r="B28" s="15">
        <v>301.33999999999997</v>
      </c>
      <c r="I28" s="2">
        <v>26102</v>
      </c>
      <c r="J28" s="15">
        <v>267</v>
      </c>
    </row>
    <row r="29" spans="1:10" x14ac:dyDescent="0.3">
      <c r="I29" s="2">
        <v>26295</v>
      </c>
      <c r="J29" s="15">
        <v>136</v>
      </c>
    </row>
    <row r="30" spans="1:10" x14ac:dyDescent="0.3">
      <c r="I30" s="2">
        <v>26655</v>
      </c>
      <c r="J30" s="15">
        <v>225</v>
      </c>
    </row>
    <row r="31" spans="1:10" x14ac:dyDescent="0.3">
      <c r="I31" s="2">
        <v>26893</v>
      </c>
      <c r="J31" s="15">
        <v>243</v>
      </c>
    </row>
    <row r="32" spans="1:10" x14ac:dyDescent="0.3">
      <c r="I32" s="2">
        <v>27392</v>
      </c>
      <c r="J32" s="15">
        <v>483</v>
      </c>
    </row>
    <row r="33" spans="9:10" x14ac:dyDescent="0.3">
      <c r="I33" s="2">
        <v>27400</v>
      </c>
      <c r="J33" s="15">
        <v>135</v>
      </c>
    </row>
    <row r="34" spans="9:10" x14ac:dyDescent="0.3">
      <c r="I34" s="2">
        <v>27805</v>
      </c>
      <c r="J34" s="15">
        <v>153</v>
      </c>
    </row>
    <row r="35" spans="9:10" x14ac:dyDescent="0.3">
      <c r="I35" s="2">
        <v>28155</v>
      </c>
      <c r="J35" s="15">
        <v>214</v>
      </c>
    </row>
    <row r="36" spans="9:10" x14ac:dyDescent="0.3">
      <c r="I36" s="2">
        <v>28308</v>
      </c>
      <c r="J36" s="15">
        <v>119</v>
      </c>
    </row>
    <row r="37" spans="9:10" x14ac:dyDescent="0.3">
      <c r="I37" s="2">
        <v>28680</v>
      </c>
      <c r="J37" s="15">
        <v>436</v>
      </c>
    </row>
    <row r="38" spans="9:10" x14ac:dyDescent="0.3">
      <c r="I38" s="2">
        <v>28716</v>
      </c>
      <c r="J38" s="15">
        <v>301</v>
      </c>
    </row>
    <row r="39" spans="9:10" x14ac:dyDescent="0.3">
      <c r="I39" s="2">
        <v>29435</v>
      </c>
      <c r="J39" s="15">
        <v>415</v>
      </c>
    </row>
    <row r="40" spans="9:10" x14ac:dyDescent="0.3">
      <c r="I40" s="2">
        <v>29540</v>
      </c>
      <c r="J40" s="15">
        <v>109</v>
      </c>
    </row>
    <row r="41" spans="9:10" x14ac:dyDescent="0.3">
      <c r="I41" s="2">
        <v>29662</v>
      </c>
      <c r="J41" s="15">
        <v>255</v>
      </c>
    </row>
    <row r="42" spans="9:10" x14ac:dyDescent="0.3">
      <c r="I42" s="2">
        <v>29823</v>
      </c>
      <c r="J42" s="15">
        <v>355</v>
      </c>
    </row>
    <row r="43" spans="9:10" x14ac:dyDescent="0.3">
      <c r="I43" s="2">
        <v>30492</v>
      </c>
      <c r="J43" s="15">
        <v>240</v>
      </c>
    </row>
    <row r="44" spans="9:10" x14ac:dyDescent="0.3">
      <c r="I44" s="2">
        <v>30647</v>
      </c>
      <c r="J44" s="15">
        <v>190</v>
      </c>
    </row>
    <row r="45" spans="9:10" x14ac:dyDescent="0.3">
      <c r="I45" s="2">
        <v>30729</v>
      </c>
      <c r="J45" s="15">
        <v>426</v>
      </c>
    </row>
    <row r="46" spans="9:10" x14ac:dyDescent="0.3">
      <c r="I46" s="2">
        <v>30966</v>
      </c>
      <c r="J46" s="15">
        <v>247</v>
      </c>
    </row>
    <row r="47" spans="9:10" x14ac:dyDescent="0.3">
      <c r="I47" s="2">
        <v>31093</v>
      </c>
      <c r="J47" s="15">
        <v>464</v>
      </c>
    </row>
    <row r="48" spans="9:10" x14ac:dyDescent="0.3">
      <c r="I48" s="2">
        <v>31111</v>
      </c>
      <c r="J48" s="15">
        <v>363</v>
      </c>
    </row>
    <row r="49" spans="9:10" x14ac:dyDescent="0.3">
      <c r="I49" s="2">
        <v>31411</v>
      </c>
      <c r="J49" s="15">
        <v>341</v>
      </c>
    </row>
    <row r="50" spans="9:10" x14ac:dyDescent="0.3">
      <c r="I50" s="2">
        <v>32183</v>
      </c>
      <c r="J50" s="15">
        <v>468</v>
      </c>
    </row>
    <row r="51" spans="9:10" x14ac:dyDescent="0.3">
      <c r="I51" s="2">
        <v>32688</v>
      </c>
      <c r="J51" s="15">
        <v>132</v>
      </c>
    </row>
    <row r="52" spans="9:10" x14ac:dyDescent="0.3">
      <c r="I52" s="2">
        <v>32874</v>
      </c>
      <c r="J52" s="15">
        <v>112</v>
      </c>
    </row>
    <row r="53" spans="9:10" x14ac:dyDescent="0.3">
      <c r="I53" s="2">
        <v>33284</v>
      </c>
      <c r="J53" s="15">
        <v>189</v>
      </c>
    </row>
    <row r="54" spans="9:10" x14ac:dyDescent="0.3">
      <c r="I54" s="2">
        <v>33403</v>
      </c>
      <c r="J54" s="15">
        <v>319</v>
      </c>
    </row>
    <row r="55" spans="9:10" x14ac:dyDescent="0.3">
      <c r="I55" s="2">
        <v>33500</v>
      </c>
      <c r="J55" s="15">
        <v>323</v>
      </c>
    </row>
    <row r="56" spans="9:10" x14ac:dyDescent="0.3">
      <c r="I56" s="2">
        <v>35151</v>
      </c>
      <c r="J56" s="15">
        <v>251</v>
      </c>
    </row>
    <row r="57" spans="9:10" x14ac:dyDescent="0.3">
      <c r="I57" s="2">
        <v>35338</v>
      </c>
      <c r="J57" s="15">
        <v>411</v>
      </c>
    </row>
    <row r="58" spans="9:10" x14ac:dyDescent="0.3">
      <c r="I58" s="2">
        <v>35708</v>
      </c>
      <c r="J58" s="15">
        <v>496</v>
      </c>
    </row>
    <row r="59" spans="9:10" x14ac:dyDescent="0.3">
      <c r="I59" s="2">
        <v>36371</v>
      </c>
      <c r="J59" s="15">
        <v>376</v>
      </c>
    </row>
    <row r="60" spans="9:10" x14ac:dyDescent="0.3">
      <c r="I60" s="2">
        <v>36646</v>
      </c>
      <c r="J60" s="15">
        <v>475</v>
      </c>
    </row>
    <row r="61" spans="9:10" x14ac:dyDescent="0.3">
      <c r="I61" s="2">
        <v>36896</v>
      </c>
      <c r="J61" s="15">
        <v>100</v>
      </c>
    </row>
    <row r="62" spans="9:10" x14ac:dyDescent="0.3">
      <c r="I62" s="2">
        <v>36964</v>
      </c>
      <c r="J62" s="15">
        <v>472</v>
      </c>
    </row>
    <row r="63" spans="9:10" x14ac:dyDescent="0.3">
      <c r="I63" s="2">
        <v>37019</v>
      </c>
      <c r="J63" s="15">
        <v>302</v>
      </c>
    </row>
    <row r="64" spans="9:10" x14ac:dyDescent="0.3">
      <c r="I64" s="2">
        <v>37429</v>
      </c>
      <c r="J64" s="15">
        <v>466</v>
      </c>
    </row>
    <row r="65" spans="9:10" x14ac:dyDescent="0.3">
      <c r="I65" s="2">
        <v>38070</v>
      </c>
      <c r="J65" s="15">
        <v>420</v>
      </c>
    </row>
    <row r="66" spans="9:10" x14ac:dyDescent="0.3">
      <c r="I66" s="2">
        <v>38589</v>
      </c>
      <c r="J66" s="15">
        <v>262</v>
      </c>
    </row>
    <row r="67" spans="9:10" x14ac:dyDescent="0.3">
      <c r="I67" s="2">
        <v>38711</v>
      </c>
      <c r="J67" s="15">
        <v>108</v>
      </c>
    </row>
    <row r="68" spans="9:10" x14ac:dyDescent="0.3">
      <c r="I68" s="2">
        <v>39190</v>
      </c>
      <c r="J68" s="15">
        <v>374</v>
      </c>
    </row>
    <row r="69" spans="9:10" x14ac:dyDescent="0.3">
      <c r="I69" s="2">
        <v>39508</v>
      </c>
      <c r="J69" s="15">
        <v>233</v>
      </c>
    </row>
    <row r="70" spans="9:10" x14ac:dyDescent="0.3">
      <c r="I70" s="2">
        <v>39738</v>
      </c>
      <c r="J70" s="15">
        <v>152</v>
      </c>
    </row>
    <row r="71" spans="9:10" x14ac:dyDescent="0.3">
      <c r="I71" s="2">
        <v>39830</v>
      </c>
      <c r="J71" s="15">
        <v>438</v>
      </c>
    </row>
    <row r="72" spans="9:10" x14ac:dyDescent="0.3">
      <c r="I72" s="2">
        <v>40056</v>
      </c>
      <c r="J72" s="15">
        <v>358</v>
      </c>
    </row>
    <row r="73" spans="9:10" x14ac:dyDescent="0.3">
      <c r="I73" s="2">
        <v>40932</v>
      </c>
      <c r="J73" s="15">
        <v>456</v>
      </c>
    </row>
    <row r="74" spans="9:10" x14ac:dyDescent="0.3">
      <c r="I74" s="2">
        <v>41357</v>
      </c>
      <c r="J74" s="15">
        <v>316</v>
      </c>
    </row>
    <row r="75" spans="9:10" x14ac:dyDescent="0.3">
      <c r="I75" s="2">
        <v>41918</v>
      </c>
      <c r="J75" s="15">
        <v>413</v>
      </c>
    </row>
    <row r="76" spans="9:10" x14ac:dyDescent="0.3">
      <c r="I76" s="2">
        <v>42399</v>
      </c>
      <c r="J76" s="15">
        <v>175</v>
      </c>
    </row>
    <row r="77" spans="9:10" x14ac:dyDescent="0.3">
      <c r="I77" s="2">
        <v>42671</v>
      </c>
      <c r="J77" s="15">
        <v>429</v>
      </c>
    </row>
    <row r="78" spans="9:10" x14ac:dyDescent="0.3">
      <c r="I78" s="2">
        <v>42677</v>
      </c>
      <c r="J78" s="15">
        <v>100</v>
      </c>
    </row>
    <row r="79" spans="9:10" x14ac:dyDescent="0.3">
      <c r="I79" s="2">
        <v>43049</v>
      </c>
      <c r="J79" s="15">
        <v>145</v>
      </c>
    </row>
    <row r="80" spans="9:10" x14ac:dyDescent="0.3">
      <c r="I80" s="2">
        <v>43093</v>
      </c>
      <c r="J80" s="15">
        <v>293</v>
      </c>
    </row>
    <row r="81" spans="9:10" x14ac:dyDescent="0.3">
      <c r="I81" s="2">
        <v>43289</v>
      </c>
      <c r="J81" s="15">
        <v>470</v>
      </c>
    </row>
    <row r="82" spans="9:10" x14ac:dyDescent="0.3">
      <c r="I82" s="2">
        <v>43328</v>
      </c>
      <c r="J82" s="15">
        <v>199</v>
      </c>
    </row>
    <row r="83" spans="9:10" x14ac:dyDescent="0.3">
      <c r="I83" s="2">
        <v>43664</v>
      </c>
      <c r="J83" s="15">
        <v>115</v>
      </c>
    </row>
    <row r="84" spans="9:10" x14ac:dyDescent="0.3">
      <c r="I84" s="2">
        <v>45184</v>
      </c>
      <c r="J84" s="15">
        <v>142</v>
      </c>
    </row>
    <row r="85" spans="9:10" x14ac:dyDescent="0.3">
      <c r="I85" s="2">
        <v>45342</v>
      </c>
      <c r="J85" s="15">
        <v>278</v>
      </c>
    </row>
    <row r="86" spans="9:10" x14ac:dyDescent="0.3">
      <c r="I86" s="2">
        <v>45945</v>
      </c>
      <c r="J86" s="15">
        <v>326</v>
      </c>
    </row>
    <row r="87" spans="9:10" x14ac:dyDescent="0.3">
      <c r="I87" s="2">
        <v>46309</v>
      </c>
      <c r="J87" s="15">
        <v>495</v>
      </c>
    </row>
    <row r="88" spans="9:10" x14ac:dyDescent="0.3">
      <c r="I88" s="2">
        <v>46641</v>
      </c>
      <c r="J88" s="15">
        <v>492</v>
      </c>
    </row>
    <row r="89" spans="9:10" x14ac:dyDescent="0.3">
      <c r="I89" s="2">
        <v>46646</v>
      </c>
      <c r="J89" s="15">
        <v>496</v>
      </c>
    </row>
    <row r="90" spans="9:10" x14ac:dyDescent="0.3">
      <c r="I90" s="2">
        <v>46736</v>
      </c>
      <c r="J90" s="15">
        <v>435</v>
      </c>
    </row>
    <row r="91" spans="9:10" x14ac:dyDescent="0.3">
      <c r="I91" s="2">
        <v>47751</v>
      </c>
      <c r="J91" s="15">
        <v>231</v>
      </c>
    </row>
    <row r="92" spans="9:10" x14ac:dyDescent="0.3">
      <c r="I92" s="2">
        <v>48251</v>
      </c>
      <c r="J92" s="15">
        <v>263</v>
      </c>
    </row>
    <row r="93" spans="9:10" x14ac:dyDescent="0.3">
      <c r="I93" s="2">
        <v>49124</v>
      </c>
      <c r="J93" s="15">
        <v>291</v>
      </c>
    </row>
    <row r="94" spans="9:10" x14ac:dyDescent="0.3">
      <c r="I94" s="2">
        <v>49299</v>
      </c>
      <c r="J94" s="15">
        <v>282</v>
      </c>
    </row>
    <row r="95" spans="9:10" x14ac:dyDescent="0.3">
      <c r="I95" s="2">
        <v>49375</v>
      </c>
      <c r="J95" s="15">
        <v>457</v>
      </c>
    </row>
    <row r="96" spans="9:10" x14ac:dyDescent="0.3">
      <c r="I96" s="2">
        <v>49592</v>
      </c>
      <c r="J96" s="15">
        <v>266</v>
      </c>
    </row>
    <row r="97" spans="9:10" x14ac:dyDescent="0.3">
      <c r="I97" s="2">
        <v>49855</v>
      </c>
      <c r="J97" s="15">
        <v>291</v>
      </c>
    </row>
    <row r="98" spans="9:10" x14ac:dyDescent="0.3">
      <c r="I98" s="2">
        <v>50306</v>
      </c>
      <c r="J98" s="15">
        <v>174</v>
      </c>
    </row>
    <row r="99" spans="9:10" x14ac:dyDescent="0.3">
      <c r="I99" s="2">
        <v>50746</v>
      </c>
      <c r="J99" s="15">
        <v>250</v>
      </c>
    </row>
    <row r="100" spans="9:10" x14ac:dyDescent="0.3">
      <c r="I100" s="2">
        <v>51024</v>
      </c>
      <c r="J100" s="15">
        <v>289</v>
      </c>
    </row>
    <row r="101" spans="9:10" x14ac:dyDescent="0.3">
      <c r="I101" s="2">
        <v>51616</v>
      </c>
      <c r="J101" s="15">
        <v>493</v>
      </c>
    </row>
    <row r="102" spans="9:10" x14ac:dyDescent="0.3">
      <c r="I102" s="2">
        <v>52093</v>
      </c>
      <c r="J102" s="15">
        <v>402</v>
      </c>
    </row>
    <row r="103" spans="9:10" x14ac:dyDescent="0.3">
      <c r="I103" s="2">
        <v>52097</v>
      </c>
      <c r="J103" s="15">
        <v>225</v>
      </c>
    </row>
    <row r="104" spans="9:10" x14ac:dyDescent="0.3">
      <c r="I104" s="2">
        <v>52217</v>
      </c>
      <c r="J104" s="15">
        <v>246</v>
      </c>
    </row>
    <row r="105" spans="9:10" x14ac:dyDescent="0.3">
      <c r="I105" s="2">
        <v>52635</v>
      </c>
      <c r="J105" s="15">
        <v>245</v>
      </c>
    </row>
    <row r="106" spans="9:10" x14ac:dyDescent="0.3">
      <c r="I106" s="2">
        <v>52711</v>
      </c>
      <c r="J106" s="15">
        <v>378</v>
      </c>
    </row>
    <row r="107" spans="9:10" x14ac:dyDescent="0.3">
      <c r="I107" s="2">
        <v>52745</v>
      </c>
      <c r="J107" s="15">
        <v>221</v>
      </c>
    </row>
    <row r="108" spans="9:10" x14ac:dyDescent="0.3">
      <c r="I108" s="2">
        <v>53828</v>
      </c>
      <c r="J108" s="15">
        <v>175</v>
      </c>
    </row>
    <row r="109" spans="9:10" x14ac:dyDescent="0.3">
      <c r="I109" s="2">
        <v>54584</v>
      </c>
      <c r="J109" s="15">
        <v>382</v>
      </c>
    </row>
    <row r="110" spans="9:10" x14ac:dyDescent="0.3">
      <c r="I110" s="2">
        <v>54698</v>
      </c>
      <c r="J110" s="15">
        <v>267</v>
      </c>
    </row>
    <row r="111" spans="9:10" x14ac:dyDescent="0.3">
      <c r="I111" s="2">
        <v>54754</v>
      </c>
      <c r="J111" s="15">
        <v>352</v>
      </c>
    </row>
    <row r="112" spans="9:10" x14ac:dyDescent="0.3">
      <c r="I112" s="2">
        <v>55247</v>
      </c>
      <c r="J112" s="15">
        <v>300</v>
      </c>
    </row>
    <row r="113" spans="9:10" x14ac:dyDescent="0.3">
      <c r="I113" s="2">
        <v>55777</v>
      </c>
      <c r="J113" s="15">
        <v>441</v>
      </c>
    </row>
    <row r="114" spans="9:10" x14ac:dyDescent="0.3">
      <c r="I114" s="2">
        <v>56212</v>
      </c>
      <c r="J114" s="15">
        <v>320</v>
      </c>
    </row>
    <row r="115" spans="9:10" x14ac:dyDescent="0.3">
      <c r="I115" s="2">
        <v>56631</v>
      </c>
      <c r="J115" s="15">
        <v>264</v>
      </c>
    </row>
    <row r="116" spans="9:10" x14ac:dyDescent="0.3">
      <c r="I116" s="2">
        <v>57157</v>
      </c>
      <c r="J116" s="15">
        <v>200</v>
      </c>
    </row>
    <row r="117" spans="9:10" x14ac:dyDescent="0.3">
      <c r="I117" s="2">
        <v>57504</v>
      </c>
      <c r="J117" s="15">
        <v>192</v>
      </c>
    </row>
    <row r="118" spans="9:10" x14ac:dyDescent="0.3">
      <c r="I118" s="2">
        <v>58360</v>
      </c>
      <c r="J118" s="15">
        <v>468</v>
      </c>
    </row>
    <row r="119" spans="9:10" x14ac:dyDescent="0.3">
      <c r="I119" s="2">
        <v>58467</v>
      </c>
      <c r="J119" s="15">
        <v>276</v>
      </c>
    </row>
    <row r="120" spans="9:10" x14ac:dyDescent="0.3">
      <c r="I120" s="2">
        <v>58623</v>
      </c>
      <c r="J120" s="15">
        <v>357</v>
      </c>
    </row>
    <row r="121" spans="9:10" x14ac:dyDescent="0.3">
      <c r="I121" s="2">
        <v>59384</v>
      </c>
      <c r="J121" s="15">
        <v>490</v>
      </c>
    </row>
    <row r="122" spans="9:10" x14ac:dyDescent="0.3">
      <c r="I122" s="2">
        <v>59734</v>
      </c>
      <c r="J122" s="15">
        <v>179</v>
      </c>
    </row>
    <row r="123" spans="9:10" x14ac:dyDescent="0.3">
      <c r="I123" s="2">
        <v>59790</v>
      </c>
      <c r="J123" s="15">
        <v>208</v>
      </c>
    </row>
    <row r="124" spans="9:10" x14ac:dyDescent="0.3">
      <c r="I124" s="2">
        <v>60158</v>
      </c>
      <c r="J124" s="15">
        <v>489</v>
      </c>
    </row>
    <row r="125" spans="9:10" x14ac:dyDescent="0.3">
      <c r="I125" s="2">
        <v>60764</v>
      </c>
      <c r="J125" s="15">
        <v>141</v>
      </c>
    </row>
    <row r="126" spans="9:10" x14ac:dyDescent="0.3">
      <c r="I126" s="2">
        <v>60818</v>
      </c>
      <c r="J126" s="15">
        <v>483</v>
      </c>
    </row>
    <row r="127" spans="9:10" x14ac:dyDescent="0.3">
      <c r="I127" s="2">
        <v>61975</v>
      </c>
      <c r="J127" s="15">
        <v>402</v>
      </c>
    </row>
    <row r="128" spans="9:10" x14ac:dyDescent="0.3">
      <c r="I128" s="2">
        <v>62107</v>
      </c>
      <c r="J128" s="15">
        <v>143</v>
      </c>
    </row>
    <row r="129" spans="9:10" x14ac:dyDescent="0.3">
      <c r="I129" s="2">
        <v>62642</v>
      </c>
      <c r="J129" s="15">
        <v>195</v>
      </c>
    </row>
    <row r="130" spans="9:10" x14ac:dyDescent="0.3">
      <c r="I130" s="2">
        <v>63016</v>
      </c>
      <c r="J130" s="15">
        <v>198</v>
      </c>
    </row>
    <row r="131" spans="9:10" x14ac:dyDescent="0.3">
      <c r="I131" s="2">
        <v>63484</v>
      </c>
      <c r="J131" s="15">
        <v>314</v>
      </c>
    </row>
    <row r="132" spans="9:10" x14ac:dyDescent="0.3">
      <c r="I132" s="2">
        <v>63525</v>
      </c>
      <c r="J132" s="15">
        <v>334</v>
      </c>
    </row>
    <row r="133" spans="9:10" x14ac:dyDescent="0.3">
      <c r="I133" s="2">
        <v>63919</v>
      </c>
      <c r="J133" s="15">
        <v>244</v>
      </c>
    </row>
    <row r="134" spans="9:10" x14ac:dyDescent="0.3">
      <c r="I134" s="2">
        <v>64064</v>
      </c>
      <c r="J134" s="15">
        <v>305</v>
      </c>
    </row>
    <row r="135" spans="9:10" x14ac:dyDescent="0.3">
      <c r="I135" s="2">
        <v>64078</v>
      </c>
      <c r="J135" s="15">
        <v>127</v>
      </c>
    </row>
    <row r="136" spans="9:10" x14ac:dyDescent="0.3">
      <c r="I136" s="2">
        <v>65017</v>
      </c>
      <c r="J136" s="15">
        <v>316</v>
      </c>
    </row>
    <row r="137" spans="9:10" x14ac:dyDescent="0.3">
      <c r="I137" s="2">
        <v>65236</v>
      </c>
      <c r="J137" s="15">
        <v>352</v>
      </c>
    </row>
    <row r="138" spans="9:10" x14ac:dyDescent="0.3">
      <c r="I138" s="2">
        <v>65525</v>
      </c>
      <c r="J138" s="15">
        <v>151</v>
      </c>
    </row>
    <row r="139" spans="9:10" x14ac:dyDescent="0.3">
      <c r="I139" s="2">
        <v>65543</v>
      </c>
      <c r="J139" s="15">
        <v>243</v>
      </c>
    </row>
    <row r="140" spans="9:10" x14ac:dyDescent="0.3">
      <c r="I140" s="2">
        <v>65714</v>
      </c>
      <c r="J140" s="15">
        <v>497</v>
      </c>
    </row>
    <row r="141" spans="9:10" x14ac:dyDescent="0.3">
      <c r="I141" s="2">
        <v>66175</v>
      </c>
      <c r="J141" s="15">
        <v>472</v>
      </c>
    </row>
    <row r="142" spans="9:10" x14ac:dyDescent="0.3">
      <c r="I142" s="2">
        <v>66214</v>
      </c>
      <c r="J142" s="15">
        <v>364</v>
      </c>
    </row>
    <row r="143" spans="9:10" x14ac:dyDescent="0.3">
      <c r="I143" s="2">
        <v>66717</v>
      </c>
      <c r="J143" s="15">
        <v>439</v>
      </c>
    </row>
    <row r="144" spans="9:10" x14ac:dyDescent="0.3">
      <c r="I144" s="2">
        <v>66843</v>
      </c>
      <c r="J144" s="15">
        <v>316</v>
      </c>
    </row>
    <row r="145" spans="9:10" x14ac:dyDescent="0.3">
      <c r="I145" s="2">
        <v>66975</v>
      </c>
      <c r="J145" s="15">
        <v>467</v>
      </c>
    </row>
    <row r="146" spans="9:10" x14ac:dyDescent="0.3">
      <c r="I146" s="2">
        <v>67202</v>
      </c>
      <c r="J146" s="15">
        <v>430</v>
      </c>
    </row>
    <row r="147" spans="9:10" x14ac:dyDescent="0.3">
      <c r="I147" s="2">
        <v>67254</v>
      </c>
      <c r="J147" s="15">
        <v>295</v>
      </c>
    </row>
    <row r="148" spans="9:10" x14ac:dyDescent="0.3">
      <c r="I148" s="2">
        <v>67333</v>
      </c>
      <c r="J148" s="15">
        <v>168</v>
      </c>
    </row>
    <row r="149" spans="9:10" x14ac:dyDescent="0.3">
      <c r="I149" s="2">
        <v>68354</v>
      </c>
      <c r="J149" s="15">
        <v>385</v>
      </c>
    </row>
    <row r="150" spans="9:10" x14ac:dyDescent="0.3">
      <c r="I150" s="2">
        <v>68404</v>
      </c>
      <c r="J150" s="15">
        <v>156</v>
      </c>
    </row>
    <row r="151" spans="9:10" x14ac:dyDescent="0.3">
      <c r="I151" s="2">
        <v>68747</v>
      </c>
      <c r="J151" s="15">
        <v>143</v>
      </c>
    </row>
    <row r="152" spans="9:10" x14ac:dyDescent="0.3">
      <c r="I152" s="2">
        <v>69377</v>
      </c>
      <c r="J152" s="15">
        <v>243</v>
      </c>
    </row>
    <row r="153" spans="9:10" x14ac:dyDescent="0.3">
      <c r="I153" s="2">
        <v>69689</v>
      </c>
      <c r="J153" s="15">
        <v>463</v>
      </c>
    </row>
    <row r="154" spans="9:10" x14ac:dyDescent="0.3">
      <c r="I154" s="2">
        <v>69726</v>
      </c>
      <c r="J154" s="15">
        <v>482</v>
      </c>
    </row>
    <row r="155" spans="9:10" x14ac:dyDescent="0.3">
      <c r="I155" s="2">
        <v>69811</v>
      </c>
      <c r="J155" s="15">
        <v>111</v>
      </c>
    </row>
    <row r="156" spans="9:10" x14ac:dyDescent="0.3">
      <c r="I156" s="2">
        <v>70108</v>
      </c>
      <c r="J156" s="15">
        <v>118</v>
      </c>
    </row>
    <row r="157" spans="9:10" x14ac:dyDescent="0.3">
      <c r="I157" s="2">
        <v>70300</v>
      </c>
      <c r="J157" s="15">
        <v>460</v>
      </c>
    </row>
    <row r="158" spans="9:10" x14ac:dyDescent="0.3">
      <c r="I158" s="2">
        <v>70336</v>
      </c>
      <c r="J158" s="15">
        <v>269</v>
      </c>
    </row>
    <row r="159" spans="9:10" x14ac:dyDescent="0.3">
      <c r="I159" s="2">
        <v>70859</v>
      </c>
      <c r="J159" s="15">
        <v>251</v>
      </c>
    </row>
    <row r="160" spans="9:10" x14ac:dyDescent="0.3">
      <c r="I160" s="2">
        <v>70993</v>
      </c>
      <c r="J160" s="15">
        <v>281</v>
      </c>
    </row>
    <row r="161" spans="9:10" x14ac:dyDescent="0.3">
      <c r="I161" s="2">
        <v>71293</v>
      </c>
      <c r="J161" s="15">
        <v>456</v>
      </c>
    </row>
    <row r="162" spans="9:10" x14ac:dyDescent="0.3">
      <c r="I162" s="2">
        <v>71407</v>
      </c>
      <c r="J162" s="15">
        <v>250</v>
      </c>
    </row>
    <row r="163" spans="9:10" x14ac:dyDescent="0.3">
      <c r="I163" s="2">
        <v>71663</v>
      </c>
      <c r="J163" s="15">
        <v>384</v>
      </c>
    </row>
    <row r="164" spans="9:10" x14ac:dyDescent="0.3">
      <c r="I164" s="2">
        <v>71885</v>
      </c>
      <c r="J164" s="15">
        <v>128</v>
      </c>
    </row>
    <row r="165" spans="9:10" x14ac:dyDescent="0.3">
      <c r="I165" s="2">
        <v>71990</v>
      </c>
      <c r="J165" s="15">
        <v>332</v>
      </c>
    </row>
    <row r="166" spans="9:10" x14ac:dyDescent="0.3">
      <c r="I166" s="2">
        <v>72083</v>
      </c>
      <c r="J166" s="15">
        <v>422</v>
      </c>
    </row>
    <row r="167" spans="9:10" x14ac:dyDescent="0.3">
      <c r="I167" s="2">
        <v>72662</v>
      </c>
      <c r="J167" s="15">
        <v>479</v>
      </c>
    </row>
    <row r="168" spans="9:10" x14ac:dyDescent="0.3">
      <c r="I168" s="2">
        <v>72921</v>
      </c>
      <c r="J168" s="15">
        <v>416</v>
      </c>
    </row>
    <row r="169" spans="9:10" x14ac:dyDescent="0.3">
      <c r="I169" s="2">
        <v>73006</v>
      </c>
      <c r="J169" s="15">
        <v>468</v>
      </c>
    </row>
    <row r="170" spans="9:10" x14ac:dyDescent="0.3">
      <c r="I170" s="2">
        <v>73222</v>
      </c>
      <c r="J170" s="15">
        <v>371</v>
      </c>
    </row>
    <row r="171" spans="9:10" x14ac:dyDescent="0.3">
      <c r="I171" s="2">
        <v>73351</v>
      </c>
      <c r="J171" s="15">
        <v>454</v>
      </c>
    </row>
    <row r="172" spans="9:10" x14ac:dyDescent="0.3">
      <c r="I172" s="2">
        <v>74021</v>
      </c>
      <c r="J172" s="15">
        <v>272</v>
      </c>
    </row>
    <row r="173" spans="9:10" x14ac:dyDescent="0.3">
      <c r="I173" s="2">
        <v>74045</v>
      </c>
      <c r="J173" s="15">
        <v>138</v>
      </c>
    </row>
    <row r="174" spans="9:10" x14ac:dyDescent="0.3">
      <c r="I174" s="2">
        <v>74240</v>
      </c>
      <c r="J174" s="15">
        <v>106</v>
      </c>
    </row>
    <row r="175" spans="9:10" x14ac:dyDescent="0.3">
      <c r="I175" s="2">
        <v>74340</v>
      </c>
      <c r="J175" s="15">
        <v>277</v>
      </c>
    </row>
    <row r="176" spans="9:10" x14ac:dyDescent="0.3">
      <c r="I176" s="2">
        <v>74748</v>
      </c>
      <c r="J176" s="15">
        <v>169</v>
      </c>
    </row>
    <row r="177" spans="9:10" x14ac:dyDescent="0.3">
      <c r="I177" s="2">
        <v>75609</v>
      </c>
      <c r="J177" s="15">
        <v>486</v>
      </c>
    </row>
    <row r="178" spans="9:10" x14ac:dyDescent="0.3">
      <c r="I178" s="2">
        <v>75680</v>
      </c>
      <c r="J178" s="15">
        <v>259</v>
      </c>
    </row>
    <row r="179" spans="9:10" x14ac:dyDescent="0.3">
      <c r="I179" s="2">
        <v>75766</v>
      </c>
      <c r="J179" s="15">
        <v>341</v>
      </c>
    </row>
    <row r="180" spans="9:10" x14ac:dyDescent="0.3">
      <c r="I180" s="2">
        <v>76179</v>
      </c>
      <c r="J180" s="15">
        <v>416</v>
      </c>
    </row>
    <row r="181" spans="9:10" x14ac:dyDescent="0.3">
      <c r="I181" s="2">
        <v>76250</v>
      </c>
      <c r="J181" s="15">
        <v>401</v>
      </c>
    </row>
    <row r="182" spans="9:10" x14ac:dyDescent="0.3">
      <c r="I182" s="2">
        <v>76491</v>
      </c>
      <c r="J182" s="15">
        <v>232</v>
      </c>
    </row>
    <row r="183" spans="9:10" x14ac:dyDescent="0.3">
      <c r="I183" s="2">
        <v>76556</v>
      </c>
      <c r="J183" s="15">
        <v>111</v>
      </c>
    </row>
    <row r="184" spans="9:10" x14ac:dyDescent="0.3">
      <c r="I184" s="2">
        <v>76573</v>
      </c>
      <c r="J184" s="15">
        <v>319</v>
      </c>
    </row>
    <row r="185" spans="9:10" x14ac:dyDescent="0.3">
      <c r="I185" s="2">
        <v>76661</v>
      </c>
      <c r="J185" s="15">
        <v>447</v>
      </c>
    </row>
    <row r="186" spans="9:10" x14ac:dyDescent="0.3">
      <c r="I186" s="2">
        <v>76835</v>
      </c>
      <c r="J186" s="15">
        <v>322</v>
      </c>
    </row>
    <row r="187" spans="9:10" x14ac:dyDescent="0.3">
      <c r="I187" s="2">
        <v>76958</v>
      </c>
      <c r="J187" s="15">
        <v>244</v>
      </c>
    </row>
    <row r="188" spans="9:10" x14ac:dyDescent="0.3">
      <c r="I188" s="2">
        <v>78335</v>
      </c>
      <c r="J188" s="15">
        <v>272</v>
      </c>
    </row>
    <row r="189" spans="9:10" x14ac:dyDescent="0.3">
      <c r="I189" s="2">
        <v>78871</v>
      </c>
      <c r="J189" s="15">
        <v>332</v>
      </c>
    </row>
    <row r="190" spans="9:10" x14ac:dyDescent="0.3">
      <c r="I190" s="2">
        <v>79040</v>
      </c>
      <c r="J190" s="15">
        <v>367</v>
      </c>
    </row>
    <row r="191" spans="9:10" x14ac:dyDescent="0.3">
      <c r="I191" s="2">
        <v>79101</v>
      </c>
      <c r="J191" s="15">
        <v>339</v>
      </c>
    </row>
    <row r="192" spans="9:10" x14ac:dyDescent="0.3">
      <c r="I192" s="2">
        <v>79638</v>
      </c>
      <c r="J192" s="15">
        <v>107</v>
      </c>
    </row>
    <row r="193" spans="9:10" x14ac:dyDescent="0.3">
      <c r="I193" s="2">
        <v>80160</v>
      </c>
      <c r="J193" s="15">
        <v>296</v>
      </c>
    </row>
    <row r="194" spans="9:10" x14ac:dyDescent="0.3">
      <c r="I194" s="2">
        <v>80403</v>
      </c>
      <c r="J194" s="15">
        <v>327</v>
      </c>
    </row>
    <row r="195" spans="9:10" x14ac:dyDescent="0.3">
      <c r="I195" s="2">
        <v>80713</v>
      </c>
      <c r="J195" s="15">
        <v>213</v>
      </c>
    </row>
    <row r="196" spans="9:10" x14ac:dyDescent="0.3">
      <c r="I196" s="2">
        <v>81135</v>
      </c>
      <c r="J196" s="15">
        <v>286</v>
      </c>
    </row>
    <row r="197" spans="9:10" x14ac:dyDescent="0.3">
      <c r="I197" s="2">
        <v>81267</v>
      </c>
      <c r="J197" s="15">
        <v>460</v>
      </c>
    </row>
    <row r="198" spans="9:10" x14ac:dyDescent="0.3">
      <c r="I198" s="2">
        <v>81389</v>
      </c>
      <c r="J198" s="15">
        <v>285</v>
      </c>
    </row>
    <row r="199" spans="9:10" x14ac:dyDescent="0.3">
      <c r="I199" s="2">
        <v>81434</v>
      </c>
      <c r="J199" s="15">
        <v>326</v>
      </c>
    </row>
    <row r="200" spans="9:10" x14ac:dyDescent="0.3">
      <c r="I200" s="2">
        <v>82752</v>
      </c>
      <c r="J200" s="15">
        <v>311</v>
      </c>
    </row>
    <row r="201" spans="9:10" x14ac:dyDescent="0.3">
      <c r="I201" s="2">
        <v>83208</v>
      </c>
      <c r="J201" s="15">
        <v>338</v>
      </c>
    </row>
    <row r="202" spans="9:10" x14ac:dyDescent="0.3">
      <c r="I202" s="2">
        <v>83734</v>
      </c>
      <c r="J202" s="15">
        <v>277</v>
      </c>
    </row>
    <row r="203" spans="9:10" x14ac:dyDescent="0.3">
      <c r="I203" s="2">
        <v>85318</v>
      </c>
      <c r="J203" s="15">
        <v>103</v>
      </c>
    </row>
    <row r="204" spans="9:10" x14ac:dyDescent="0.3">
      <c r="I204" s="2">
        <v>85417</v>
      </c>
      <c r="J204" s="15">
        <v>181</v>
      </c>
    </row>
    <row r="205" spans="9:10" x14ac:dyDescent="0.3">
      <c r="I205" s="2">
        <v>85726</v>
      </c>
      <c r="J205" s="15">
        <v>273</v>
      </c>
    </row>
    <row r="206" spans="9:10" x14ac:dyDescent="0.3">
      <c r="I206" s="2">
        <v>85733</v>
      </c>
      <c r="J206" s="15">
        <v>164</v>
      </c>
    </row>
    <row r="207" spans="9:10" x14ac:dyDescent="0.3">
      <c r="I207" s="2">
        <v>86105</v>
      </c>
      <c r="J207" s="15">
        <v>104</v>
      </c>
    </row>
    <row r="208" spans="9:10" x14ac:dyDescent="0.3">
      <c r="I208" s="2">
        <v>86235</v>
      </c>
      <c r="J208" s="15">
        <v>329</v>
      </c>
    </row>
    <row r="209" spans="9:10" x14ac:dyDescent="0.3">
      <c r="I209" s="2">
        <v>86320</v>
      </c>
      <c r="J209" s="15">
        <v>400</v>
      </c>
    </row>
    <row r="210" spans="9:10" x14ac:dyDescent="0.3">
      <c r="I210" s="2">
        <v>86412</v>
      </c>
      <c r="J210" s="15">
        <v>259</v>
      </c>
    </row>
    <row r="211" spans="9:10" x14ac:dyDescent="0.3">
      <c r="I211" s="2">
        <v>86617</v>
      </c>
      <c r="J211" s="15">
        <v>242</v>
      </c>
    </row>
    <row r="212" spans="9:10" x14ac:dyDescent="0.3">
      <c r="I212" s="2">
        <v>86690</v>
      </c>
      <c r="J212" s="15">
        <v>289</v>
      </c>
    </row>
    <row r="213" spans="9:10" x14ac:dyDescent="0.3">
      <c r="I213" s="2">
        <v>87172</v>
      </c>
      <c r="J213" s="15">
        <v>379</v>
      </c>
    </row>
    <row r="214" spans="9:10" x14ac:dyDescent="0.3">
      <c r="I214" s="2">
        <v>87215</v>
      </c>
      <c r="J214" s="15">
        <v>447</v>
      </c>
    </row>
    <row r="215" spans="9:10" x14ac:dyDescent="0.3">
      <c r="I215" s="2">
        <v>87270</v>
      </c>
      <c r="J215" s="15">
        <v>314</v>
      </c>
    </row>
    <row r="216" spans="9:10" x14ac:dyDescent="0.3">
      <c r="I216" s="2">
        <v>87863</v>
      </c>
      <c r="J216" s="15">
        <v>367</v>
      </c>
    </row>
    <row r="217" spans="9:10" x14ac:dyDescent="0.3">
      <c r="I217" s="2">
        <v>88027</v>
      </c>
      <c r="J217" s="15">
        <v>216</v>
      </c>
    </row>
    <row r="218" spans="9:10" x14ac:dyDescent="0.3">
      <c r="I218" s="2">
        <v>88385</v>
      </c>
      <c r="J218" s="15">
        <v>352</v>
      </c>
    </row>
    <row r="219" spans="9:10" x14ac:dyDescent="0.3">
      <c r="I219" s="2">
        <v>88497</v>
      </c>
      <c r="J219" s="15">
        <v>183</v>
      </c>
    </row>
    <row r="220" spans="9:10" x14ac:dyDescent="0.3">
      <c r="I220" s="2">
        <v>89042</v>
      </c>
      <c r="J220" s="15">
        <v>263</v>
      </c>
    </row>
    <row r="221" spans="9:10" x14ac:dyDescent="0.3">
      <c r="I221" s="2">
        <v>89678</v>
      </c>
      <c r="J221" s="15">
        <v>248</v>
      </c>
    </row>
    <row r="222" spans="9:10" x14ac:dyDescent="0.3">
      <c r="I222" s="2">
        <v>90031</v>
      </c>
      <c r="J222" s="15">
        <v>272</v>
      </c>
    </row>
    <row r="223" spans="9:10" x14ac:dyDescent="0.3">
      <c r="I223" s="2">
        <v>90091</v>
      </c>
      <c r="J223" s="15">
        <v>322</v>
      </c>
    </row>
    <row r="224" spans="9:10" x14ac:dyDescent="0.3">
      <c r="I224" s="2">
        <v>90271</v>
      </c>
      <c r="J224" s="15">
        <v>383</v>
      </c>
    </row>
    <row r="225" spans="9:10" x14ac:dyDescent="0.3">
      <c r="I225" s="2">
        <v>90313</v>
      </c>
      <c r="J225" s="15">
        <v>290</v>
      </c>
    </row>
    <row r="226" spans="9:10" x14ac:dyDescent="0.3">
      <c r="I226" s="2">
        <v>90316</v>
      </c>
      <c r="J226" s="15">
        <v>445</v>
      </c>
    </row>
    <row r="227" spans="9:10" x14ac:dyDescent="0.3">
      <c r="I227" s="2">
        <v>90467</v>
      </c>
      <c r="J227" s="15">
        <v>262</v>
      </c>
    </row>
    <row r="228" spans="9:10" x14ac:dyDescent="0.3">
      <c r="I228" s="2">
        <v>91295</v>
      </c>
      <c r="J228" s="15">
        <v>189</v>
      </c>
    </row>
    <row r="229" spans="9:10" x14ac:dyDescent="0.3">
      <c r="I229" s="2">
        <v>92082</v>
      </c>
      <c r="J229" s="15">
        <v>485</v>
      </c>
    </row>
    <row r="230" spans="9:10" x14ac:dyDescent="0.3">
      <c r="I230" s="2">
        <v>92615</v>
      </c>
      <c r="J230" s="15">
        <v>473</v>
      </c>
    </row>
    <row r="231" spans="9:10" x14ac:dyDescent="0.3">
      <c r="I231" s="2">
        <v>92694</v>
      </c>
      <c r="J231" s="15">
        <v>276</v>
      </c>
    </row>
    <row r="232" spans="9:10" x14ac:dyDescent="0.3">
      <c r="I232" s="2">
        <v>92789</v>
      </c>
      <c r="J232" s="15">
        <v>235</v>
      </c>
    </row>
    <row r="233" spans="9:10" x14ac:dyDescent="0.3">
      <c r="I233" s="2">
        <v>92991</v>
      </c>
      <c r="J233" s="15">
        <v>438</v>
      </c>
    </row>
    <row r="234" spans="9:10" x14ac:dyDescent="0.3">
      <c r="I234" s="2">
        <v>93523</v>
      </c>
      <c r="J234" s="15">
        <v>312</v>
      </c>
    </row>
    <row r="235" spans="9:10" x14ac:dyDescent="0.3">
      <c r="I235" s="2">
        <v>93656</v>
      </c>
      <c r="J235" s="15">
        <v>204</v>
      </c>
    </row>
    <row r="236" spans="9:10" x14ac:dyDescent="0.3">
      <c r="I236" s="2">
        <v>93666</v>
      </c>
      <c r="J236" s="15">
        <v>221</v>
      </c>
    </row>
    <row r="237" spans="9:10" x14ac:dyDescent="0.3">
      <c r="I237" s="2">
        <v>93744</v>
      </c>
      <c r="J237" s="15">
        <v>221</v>
      </c>
    </row>
    <row r="238" spans="9:10" x14ac:dyDescent="0.3">
      <c r="I238" s="2">
        <v>93847</v>
      </c>
      <c r="J238" s="15">
        <v>351</v>
      </c>
    </row>
    <row r="239" spans="9:10" x14ac:dyDescent="0.3">
      <c r="I239" s="2">
        <v>94290</v>
      </c>
      <c r="J239" s="15">
        <v>495</v>
      </c>
    </row>
    <row r="240" spans="9:10" x14ac:dyDescent="0.3">
      <c r="I240" s="2">
        <v>94543</v>
      </c>
      <c r="J240" s="15">
        <v>285</v>
      </c>
    </row>
    <row r="241" spans="9:10" x14ac:dyDescent="0.3">
      <c r="I241" s="2">
        <v>94740</v>
      </c>
      <c r="J241" s="15">
        <v>113</v>
      </c>
    </row>
    <row r="242" spans="9:10" x14ac:dyDescent="0.3">
      <c r="I242" s="2">
        <v>96213</v>
      </c>
      <c r="J242" s="15">
        <v>124</v>
      </c>
    </row>
    <row r="243" spans="9:10" x14ac:dyDescent="0.3">
      <c r="I243" s="2">
        <v>96429</v>
      </c>
      <c r="J243" s="15">
        <v>240</v>
      </c>
    </row>
    <row r="244" spans="9:10" x14ac:dyDescent="0.3">
      <c r="I244" s="2">
        <v>97371</v>
      </c>
      <c r="J244" s="15">
        <v>348</v>
      </c>
    </row>
    <row r="245" spans="9:10" x14ac:dyDescent="0.3">
      <c r="I245" s="2">
        <v>97505</v>
      </c>
      <c r="J245" s="15">
        <v>441</v>
      </c>
    </row>
    <row r="246" spans="9:10" x14ac:dyDescent="0.3">
      <c r="I246" s="2">
        <v>97575</v>
      </c>
      <c r="J246" s="15">
        <v>138</v>
      </c>
    </row>
    <row r="247" spans="9:10" x14ac:dyDescent="0.3">
      <c r="I247" s="2">
        <v>98069</v>
      </c>
      <c r="J247" s="15">
        <v>391</v>
      </c>
    </row>
    <row r="248" spans="9:10" x14ac:dyDescent="0.3">
      <c r="I248" s="2">
        <v>98657</v>
      </c>
      <c r="J248" s="15">
        <v>157</v>
      </c>
    </row>
    <row r="249" spans="9:10" x14ac:dyDescent="0.3">
      <c r="I249" s="2">
        <v>98781</v>
      </c>
      <c r="J249" s="15">
        <v>140</v>
      </c>
    </row>
    <row r="250" spans="9:10" x14ac:dyDescent="0.3">
      <c r="I250" s="2">
        <v>98832</v>
      </c>
      <c r="J250" s="15">
        <v>319</v>
      </c>
    </row>
    <row r="251" spans="9:10" x14ac:dyDescent="0.3">
      <c r="I251" s="2">
        <v>99605</v>
      </c>
      <c r="J251" s="15">
        <v>134</v>
      </c>
    </row>
    <row r="252" spans="9:10" x14ac:dyDescent="0.3">
      <c r="I252" s="2">
        <v>99634</v>
      </c>
      <c r="J252" s="15">
        <v>328</v>
      </c>
    </row>
    <row r="253" spans="9:10" x14ac:dyDescent="0.3">
      <c r="I253" s="2">
        <v>99909</v>
      </c>
      <c r="J253" s="15">
        <v>472</v>
      </c>
    </row>
    <row r="254" spans="9:10" x14ac:dyDescent="0.3">
      <c r="I254" s="2" t="s">
        <v>271</v>
      </c>
      <c r="J254" s="15">
        <v>301.33999999999997</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1"/>
  <sheetViews>
    <sheetView topLeftCell="D2" workbookViewId="0">
      <selection activeCell="M10" sqref="M10:N10"/>
    </sheetView>
  </sheetViews>
  <sheetFormatPr defaultRowHeight="14.4" x14ac:dyDescent="0.3"/>
  <cols>
    <col min="1" max="1" width="14.6640625" customWidth="1"/>
    <col min="2" max="2" width="12.5546875" customWidth="1"/>
    <col min="3" max="3" width="17.44140625" customWidth="1"/>
    <col min="4" max="4" width="22.77734375" customWidth="1"/>
    <col min="5" max="5" width="12" customWidth="1"/>
    <col min="6" max="6" width="18.109375" customWidth="1"/>
    <col min="8" max="8" width="19.21875" customWidth="1"/>
    <col min="13" max="13" width="27.109375" customWidth="1"/>
    <col min="14" max="14" width="32.88671875" customWidth="1"/>
  </cols>
  <sheetData>
    <row r="1" spans="1:14" x14ac:dyDescent="0.3">
      <c r="A1" t="s">
        <v>0</v>
      </c>
      <c r="B1" t="s">
        <v>1</v>
      </c>
      <c r="C1" t="s">
        <v>2</v>
      </c>
      <c r="D1" t="s">
        <v>3</v>
      </c>
      <c r="E1" t="s">
        <v>4</v>
      </c>
      <c r="F1" t="s">
        <v>5</v>
      </c>
      <c r="G1" t="s">
        <v>6</v>
      </c>
      <c r="H1" t="s">
        <v>269</v>
      </c>
    </row>
    <row r="2" spans="1:14" x14ac:dyDescent="0.3">
      <c r="A2" t="s">
        <v>7</v>
      </c>
      <c r="B2">
        <v>7</v>
      </c>
      <c r="C2">
        <v>85318</v>
      </c>
      <c r="D2">
        <v>103</v>
      </c>
      <c r="E2">
        <v>105</v>
      </c>
      <c r="F2">
        <v>6</v>
      </c>
      <c r="G2" t="s">
        <v>8</v>
      </c>
      <c r="H2" t="str">
        <f t="shared" ref="H2:H65" si="0">IF(D2&gt;470.2,"HIGH ENERGY","NORMAL ENERGY")</f>
        <v>NORMAL ENERGY</v>
      </c>
    </row>
    <row r="3" spans="1:14" x14ac:dyDescent="0.3">
      <c r="A3" t="s">
        <v>9</v>
      </c>
      <c r="B3">
        <v>4</v>
      </c>
      <c r="C3">
        <v>43664</v>
      </c>
      <c r="D3">
        <v>115</v>
      </c>
      <c r="E3">
        <v>79</v>
      </c>
      <c r="F3">
        <v>10</v>
      </c>
      <c r="G3" t="s">
        <v>10</v>
      </c>
      <c r="H3" t="str">
        <f t="shared" si="0"/>
        <v>NORMAL ENERGY</v>
      </c>
      <c r="M3" s="3" t="s">
        <v>273</v>
      </c>
      <c r="N3" s="4">
        <f>COUNTA(A2:A251)</f>
        <v>250</v>
      </c>
    </row>
    <row r="4" spans="1:14" x14ac:dyDescent="0.3">
      <c r="A4" t="s">
        <v>11</v>
      </c>
      <c r="B4">
        <v>5</v>
      </c>
      <c r="C4">
        <v>87172</v>
      </c>
      <c r="D4">
        <v>379</v>
      </c>
      <c r="E4">
        <v>158</v>
      </c>
      <c r="F4">
        <v>2</v>
      </c>
      <c r="G4" t="s">
        <v>10</v>
      </c>
      <c r="H4" t="str">
        <f t="shared" si="0"/>
        <v>NORMAL ENERGY</v>
      </c>
      <c r="M4" s="3" t="s">
        <v>274</v>
      </c>
      <c r="N4" s="4">
        <f>SUM(D2:D251)</f>
        <v>75335</v>
      </c>
    </row>
    <row r="5" spans="1:14" x14ac:dyDescent="0.3">
      <c r="A5" t="s">
        <v>12</v>
      </c>
      <c r="B5">
        <v>7</v>
      </c>
      <c r="C5">
        <v>46736</v>
      </c>
      <c r="D5">
        <v>435</v>
      </c>
      <c r="E5">
        <v>54</v>
      </c>
      <c r="F5">
        <v>10</v>
      </c>
      <c r="G5" t="s">
        <v>13</v>
      </c>
      <c r="H5" t="str">
        <f t="shared" si="0"/>
        <v>NORMAL ENERGY</v>
      </c>
      <c r="M5" s="3" t="s">
        <v>275</v>
      </c>
      <c r="N5" s="4">
        <f>AVERAGE(D2:D251)</f>
        <v>301.33999999999997</v>
      </c>
    </row>
    <row r="6" spans="1:14" x14ac:dyDescent="0.3">
      <c r="A6" t="s">
        <v>14</v>
      </c>
      <c r="B6">
        <v>3</v>
      </c>
      <c r="C6">
        <v>20854</v>
      </c>
      <c r="D6">
        <v>346</v>
      </c>
      <c r="E6">
        <v>168</v>
      </c>
      <c r="F6">
        <v>12</v>
      </c>
      <c r="G6" t="s">
        <v>15</v>
      </c>
      <c r="H6" t="str">
        <f t="shared" si="0"/>
        <v>NORMAL ENERGY</v>
      </c>
      <c r="M6" s="3" t="s">
        <v>276</v>
      </c>
      <c r="N6" s="4">
        <f>SUM(E2:E251)</f>
        <v>30816</v>
      </c>
    </row>
    <row r="7" spans="1:14" x14ac:dyDescent="0.3">
      <c r="A7" t="s">
        <v>16</v>
      </c>
      <c r="B7">
        <v>5</v>
      </c>
      <c r="C7">
        <v>58623</v>
      </c>
      <c r="D7">
        <v>357</v>
      </c>
      <c r="E7">
        <v>82</v>
      </c>
      <c r="F7">
        <v>9</v>
      </c>
      <c r="G7" t="s">
        <v>17</v>
      </c>
      <c r="H7" t="str">
        <f t="shared" si="0"/>
        <v>NORMAL ENERGY</v>
      </c>
      <c r="M7" s="3" t="s">
        <v>277</v>
      </c>
      <c r="N7" s="4">
        <f>AVERAGE(E2:E251)</f>
        <v>123.264</v>
      </c>
    </row>
    <row r="8" spans="1:14" x14ac:dyDescent="0.3">
      <c r="A8" t="s">
        <v>18</v>
      </c>
      <c r="B8">
        <v>5</v>
      </c>
      <c r="C8">
        <v>27392</v>
      </c>
      <c r="D8">
        <v>483</v>
      </c>
      <c r="E8">
        <v>167</v>
      </c>
      <c r="F8">
        <v>7</v>
      </c>
      <c r="G8" t="s">
        <v>10</v>
      </c>
      <c r="H8" t="str">
        <f t="shared" si="0"/>
        <v>HIGH ENERGY</v>
      </c>
    </row>
    <row r="9" spans="1:14" x14ac:dyDescent="0.3">
      <c r="A9" t="s">
        <v>19</v>
      </c>
      <c r="B9">
        <v>7</v>
      </c>
      <c r="C9">
        <v>75680</v>
      </c>
      <c r="D9">
        <v>259</v>
      </c>
      <c r="E9">
        <v>114</v>
      </c>
      <c r="F9">
        <v>8</v>
      </c>
      <c r="G9" t="s">
        <v>13</v>
      </c>
      <c r="H9" t="str">
        <f t="shared" si="0"/>
        <v>NORMAL ENERGY</v>
      </c>
    </row>
    <row r="10" spans="1:14" x14ac:dyDescent="0.3">
      <c r="A10" t="s">
        <v>20</v>
      </c>
      <c r="B10">
        <v>2</v>
      </c>
      <c r="C10">
        <v>66717</v>
      </c>
      <c r="D10">
        <v>439</v>
      </c>
      <c r="E10">
        <v>195</v>
      </c>
      <c r="F10">
        <v>4</v>
      </c>
      <c r="G10" t="s">
        <v>8</v>
      </c>
      <c r="H10" t="str">
        <f t="shared" si="0"/>
        <v>NORMAL ENERGY</v>
      </c>
      <c r="M10" s="14" t="s">
        <v>278</v>
      </c>
      <c r="N10" s="14"/>
    </row>
    <row r="11" spans="1:14" x14ac:dyDescent="0.3">
      <c r="A11" t="s">
        <v>21</v>
      </c>
      <c r="B11">
        <v>3</v>
      </c>
      <c r="C11">
        <v>70859</v>
      </c>
      <c r="D11">
        <v>251</v>
      </c>
      <c r="E11">
        <v>60</v>
      </c>
      <c r="F11">
        <v>2</v>
      </c>
      <c r="G11" t="s">
        <v>22</v>
      </c>
      <c r="H11" t="str">
        <f t="shared" si="0"/>
        <v>NORMAL ENERGY</v>
      </c>
    </row>
    <row r="12" spans="1:14" x14ac:dyDescent="0.3">
      <c r="A12" t="s">
        <v>23</v>
      </c>
      <c r="B12">
        <v>7</v>
      </c>
      <c r="C12">
        <v>46309</v>
      </c>
      <c r="D12">
        <v>495</v>
      </c>
      <c r="E12">
        <v>134</v>
      </c>
      <c r="F12">
        <v>6</v>
      </c>
      <c r="G12" t="s">
        <v>17</v>
      </c>
      <c r="H12" t="str">
        <f t="shared" si="0"/>
        <v>HIGH ENERGY</v>
      </c>
    </row>
    <row r="13" spans="1:14" x14ac:dyDescent="0.3">
      <c r="A13" t="s">
        <v>24</v>
      </c>
      <c r="B13">
        <v>3</v>
      </c>
      <c r="C13">
        <v>83734</v>
      </c>
      <c r="D13">
        <v>277</v>
      </c>
      <c r="E13">
        <v>75</v>
      </c>
      <c r="F13">
        <v>13</v>
      </c>
      <c r="G13" t="s">
        <v>25</v>
      </c>
      <c r="H13" t="str">
        <f t="shared" si="0"/>
        <v>NORMAL ENERGY</v>
      </c>
    </row>
    <row r="14" spans="1:14" x14ac:dyDescent="0.3">
      <c r="A14" t="s">
        <v>26</v>
      </c>
      <c r="B14">
        <v>3</v>
      </c>
      <c r="C14">
        <v>90467</v>
      </c>
      <c r="D14">
        <v>262</v>
      </c>
      <c r="E14">
        <v>112</v>
      </c>
      <c r="F14">
        <v>13</v>
      </c>
      <c r="G14" t="s">
        <v>27</v>
      </c>
      <c r="H14" t="str">
        <f t="shared" si="0"/>
        <v>NORMAL ENERGY</v>
      </c>
    </row>
    <row r="15" spans="1:14" x14ac:dyDescent="0.3">
      <c r="A15" t="s">
        <v>28</v>
      </c>
      <c r="B15">
        <v>5</v>
      </c>
      <c r="C15">
        <v>72662</v>
      </c>
      <c r="D15">
        <v>479</v>
      </c>
      <c r="E15">
        <v>135</v>
      </c>
      <c r="F15">
        <v>3</v>
      </c>
      <c r="G15" t="s">
        <v>27</v>
      </c>
      <c r="H15" t="str">
        <f t="shared" si="0"/>
        <v>HIGH ENERGY</v>
      </c>
    </row>
    <row r="16" spans="1:14" x14ac:dyDescent="0.3">
      <c r="A16" t="s">
        <v>29</v>
      </c>
      <c r="B16">
        <v>4</v>
      </c>
      <c r="C16">
        <v>32688</v>
      </c>
      <c r="D16">
        <v>132</v>
      </c>
      <c r="E16">
        <v>108</v>
      </c>
      <c r="F16">
        <v>6</v>
      </c>
      <c r="G16" t="s">
        <v>8</v>
      </c>
      <c r="H16" t="str">
        <f t="shared" si="0"/>
        <v>NORMAL ENERGY</v>
      </c>
    </row>
    <row r="17" spans="1:8" x14ac:dyDescent="0.3">
      <c r="A17" t="s">
        <v>30</v>
      </c>
      <c r="B17">
        <v>3</v>
      </c>
      <c r="C17">
        <v>45342</v>
      </c>
      <c r="D17">
        <v>278</v>
      </c>
      <c r="E17">
        <v>76</v>
      </c>
      <c r="F17">
        <v>9</v>
      </c>
      <c r="G17" t="s">
        <v>31</v>
      </c>
      <c r="H17" t="str">
        <f t="shared" si="0"/>
        <v>NORMAL ENERGY</v>
      </c>
    </row>
    <row r="18" spans="1:8" x14ac:dyDescent="0.3">
      <c r="A18" t="s">
        <v>32</v>
      </c>
      <c r="B18">
        <v>6</v>
      </c>
      <c r="C18">
        <v>57157</v>
      </c>
      <c r="D18">
        <v>200</v>
      </c>
      <c r="E18">
        <v>147</v>
      </c>
      <c r="F18">
        <v>12</v>
      </c>
      <c r="G18" t="s">
        <v>31</v>
      </c>
      <c r="H18" t="str">
        <f t="shared" si="0"/>
        <v>NORMAL ENERGY</v>
      </c>
    </row>
    <row r="19" spans="1:8" x14ac:dyDescent="0.3">
      <c r="A19" t="s">
        <v>33</v>
      </c>
      <c r="B19">
        <v>5</v>
      </c>
      <c r="C19">
        <v>87863</v>
      </c>
      <c r="D19">
        <v>367</v>
      </c>
      <c r="E19">
        <v>154</v>
      </c>
      <c r="F19">
        <v>10</v>
      </c>
      <c r="G19" t="s">
        <v>8</v>
      </c>
      <c r="H19" t="str">
        <f t="shared" si="0"/>
        <v>NORMAL ENERGY</v>
      </c>
    </row>
    <row r="20" spans="1:8" x14ac:dyDescent="0.3">
      <c r="A20" t="s">
        <v>34</v>
      </c>
      <c r="B20">
        <v>2</v>
      </c>
      <c r="C20">
        <v>72083</v>
      </c>
      <c r="D20">
        <v>422</v>
      </c>
      <c r="E20">
        <v>148</v>
      </c>
      <c r="F20">
        <v>3</v>
      </c>
      <c r="G20" t="s">
        <v>10</v>
      </c>
      <c r="H20" t="str">
        <f t="shared" si="0"/>
        <v>NORMAL ENERGY</v>
      </c>
    </row>
    <row r="21" spans="1:8" x14ac:dyDescent="0.3">
      <c r="A21" t="s">
        <v>35</v>
      </c>
      <c r="B21">
        <v>4</v>
      </c>
      <c r="C21">
        <v>85733</v>
      </c>
      <c r="D21">
        <v>164</v>
      </c>
      <c r="E21">
        <v>178</v>
      </c>
      <c r="F21">
        <v>13</v>
      </c>
      <c r="G21" t="s">
        <v>15</v>
      </c>
      <c r="H21" t="str">
        <f t="shared" si="0"/>
        <v>NORMAL ENERGY</v>
      </c>
    </row>
    <row r="22" spans="1:8" x14ac:dyDescent="0.3">
      <c r="A22" t="s">
        <v>36</v>
      </c>
      <c r="B22">
        <v>6</v>
      </c>
      <c r="C22">
        <v>54698</v>
      </c>
      <c r="D22">
        <v>267</v>
      </c>
      <c r="E22">
        <v>198</v>
      </c>
      <c r="F22">
        <v>4</v>
      </c>
      <c r="G22" t="s">
        <v>17</v>
      </c>
      <c r="H22" t="str">
        <f t="shared" si="0"/>
        <v>NORMAL ENERGY</v>
      </c>
    </row>
    <row r="23" spans="1:8" x14ac:dyDescent="0.3">
      <c r="A23" t="s">
        <v>37</v>
      </c>
      <c r="B23">
        <v>6</v>
      </c>
      <c r="C23">
        <v>42671</v>
      </c>
      <c r="D23">
        <v>429</v>
      </c>
      <c r="E23">
        <v>104</v>
      </c>
      <c r="F23">
        <v>4</v>
      </c>
      <c r="G23" t="s">
        <v>27</v>
      </c>
      <c r="H23" t="str">
        <f t="shared" si="0"/>
        <v>NORMAL ENERGY</v>
      </c>
    </row>
    <row r="24" spans="1:8" x14ac:dyDescent="0.3">
      <c r="A24" t="s">
        <v>38</v>
      </c>
      <c r="B24">
        <v>2</v>
      </c>
      <c r="C24">
        <v>45184</v>
      </c>
      <c r="D24">
        <v>142</v>
      </c>
      <c r="E24">
        <v>55</v>
      </c>
      <c r="F24">
        <v>2</v>
      </c>
      <c r="G24" t="s">
        <v>27</v>
      </c>
      <c r="H24" t="str">
        <f t="shared" si="0"/>
        <v>NORMAL ENERGY</v>
      </c>
    </row>
    <row r="25" spans="1:8" x14ac:dyDescent="0.3">
      <c r="A25" t="s">
        <v>39</v>
      </c>
      <c r="B25">
        <v>4</v>
      </c>
      <c r="C25">
        <v>62107</v>
      </c>
      <c r="D25">
        <v>143</v>
      </c>
      <c r="E25">
        <v>144</v>
      </c>
      <c r="F25">
        <v>9</v>
      </c>
      <c r="G25" t="s">
        <v>15</v>
      </c>
      <c r="H25" t="str">
        <f t="shared" si="0"/>
        <v>NORMAL ENERGY</v>
      </c>
    </row>
    <row r="26" spans="1:8" x14ac:dyDescent="0.3">
      <c r="A26" t="s">
        <v>40</v>
      </c>
      <c r="B26">
        <v>5</v>
      </c>
      <c r="C26">
        <v>71663</v>
      </c>
      <c r="D26">
        <v>384</v>
      </c>
      <c r="E26">
        <v>182</v>
      </c>
      <c r="F26">
        <v>7</v>
      </c>
      <c r="G26" t="s">
        <v>10</v>
      </c>
      <c r="H26" t="str">
        <f t="shared" si="0"/>
        <v>NORMAL ENERGY</v>
      </c>
    </row>
    <row r="27" spans="1:8" x14ac:dyDescent="0.3">
      <c r="A27" t="s">
        <v>41</v>
      </c>
      <c r="B27">
        <v>1</v>
      </c>
      <c r="C27">
        <v>35708</v>
      </c>
      <c r="D27">
        <v>496</v>
      </c>
      <c r="E27">
        <v>151</v>
      </c>
      <c r="F27">
        <v>13</v>
      </c>
      <c r="G27" t="s">
        <v>27</v>
      </c>
      <c r="H27" t="str">
        <f t="shared" si="0"/>
        <v>HIGH ENERGY</v>
      </c>
    </row>
    <row r="28" spans="1:8" x14ac:dyDescent="0.3">
      <c r="A28" t="s">
        <v>42</v>
      </c>
      <c r="B28">
        <v>4</v>
      </c>
      <c r="C28">
        <v>69811</v>
      </c>
      <c r="D28">
        <v>111</v>
      </c>
      <c r="E28">
        <v>52</v>
      </c>
      <c r="F28">
        <v>14</v>
      </c>
      <c r="G28" t="s">
        <v>25</v>
      </c>
      <c r="H28" t="str">
        <f t="shared" si="0"/>
        <v>NORMAL ENERGY</v>
      </c>
    </row>
    <row r="29" spans="1:8" x14ac:dyDescent="0.3">
      <c r="A29" t="s">
        <v>43</v>
      </c>
      <c r="B29">
        <v>2</v>
      </c>
      <c r="C29">
        <v>22811</v>
      </c>
      <c r="D29">
        <v>194</v>
      </c>
      <c r="E29">
        <v>72</v>
      </c>
      <c r="F29">
        <v>9</v>
      </c>
      <c r="G29" t="s">
        <v>17</v>
      </c>
      <c r="H29" t="str">
        <f t="shared" si="0"/>
        <v>NORMAL ENERGY</v>
      </c>
    </row>
    <row r="30" spans="1:8" x14ac:dyDescent="0.3">
      <c r="A30" t="s">
        <v>44</v>
      </c>
      <c r="B30">
        <v>6</v>
      </c>
      <c r="C30">
        <v>76250</v>
      </c>
      <c r="D30">
        <v>401</v>
      </c>
      <c r="E30">
        <v>102</v>
      </c>
      <c r="F30">
        <v>12</v>
      </c>
      <c r="G30" t="s">
        <v>45</v>
      </c>
      <c r="H30" t="str">
        <f t="shared" si="0"/>
        <v>NORMAL ENERGY</v>
      </c>
    </row>
    <row r="31" spans="1:8" x14ac:dyDescent="0.3">
      <c r="A31" t="s">
        <v>46</v>
      </c>
      <c r="B31">
        <v>5</v>
      </c>
      <c r="C31">
        <v>92082</v>
      </c>
      <c r="D31">
        <v>485</v>
      </c>
      <c r="E31">
        <v>132</v>
      </c>
      <c r="F31">
        <v>10</v>
      </c>
      <c r="G31" t="s">
        <v>27</v>
      </c>
      <c r="H31" t="str">
        <f t="shared" si="0"/>
        <v>HIGH ENERGY</v>
      </c>
    </row>
    <row r="32" spans="1:8" x14ac:dyDescent="0.3">
      <c r="A32" t="s">
        <v>47</v>
      </c>
      <c r="B32">
        <v>4</v>
      </c>
      <c r="C32">
        <v>54754</v>
      </c>
      <c r="D32">
        <v>352</v>
      </c>
      <c r="E32">
        <v>194</v>
      </c>
      <c r="F32">
        <v>6</v>
      </c>
      <c r="G32" t="s">
        <v>8</v>
      </c>
      <c r="H32" t="str">
        <f t="shared" si="0"/>
        <v>NORMAL ENERGY</v>
      </c>
    </row>
    <row r="33" spans="1:8" x14ac:dyDescent="0.3">
      <c r="A33" t="s">
        <v>48</v>
      </c>
      <c r="B33">
        <v>1</v>
      </c>
      <c r="C33">
        <v>31411</v>
      </c>
      <c r="D33">
        <v>341</v>
      </c>
      <c r="E33">
        <v>134</v>
      </c>
      <c r="F33">
        <v>13</v>
      </c>
      <c r="G33" t="s">
        <v>25</v>
      </c>
      <c r="H33" t="str">
        <f t="shared" si="0"/>
        <v>NORMAL ENERGY</v>
      </c>
    </row>
    <row r="34" spans="1:8" x14ac:dyDescent="0.3">
      <c r="A34" t="s">
        <v>49</v>
      </c>
      <c r="B34">
        <v>1</v>
      </c>
      <c r="C34">
        <v>22911</v>
      </c>
      <c r="D34">
        <v>134</v>
      </c>
      <c r="E34">
        <v>127</v>
      </c>
      <c r="F34">
        <v>4</v>
      </c>
      <c r="G34" t="s">
        <v>27</v>
      </c>
      <c r="H34" t="str">
        <f t="shared" si="0"/>
        <v>NORMAL ENERGY</v>
      </c>
    </row>
    <row r="35" spans="1:8" x14ac:dyDescent="0.3">
      <c r="A35" t="s">
        <v>50</v>
      </c>
      <c r="B35">
        <v>3</v>
      </c>
      <c r="C35">
        <v>87270</v>
      </c>
      <c r="D35">
        <v>314</v>
      </c>
      <c r="E35">
        <v>159</v>
      </c>
      <c r="F35">
        <v>6</v>
      </c>
      <c r="G35" t="s">
        <v>51</v>
      </c>
      <c r="H35" t="str">
        <f t="shared" si="0"/>
        <v>NORMAL ENERGY</v>
      </c>
    </row>
    <row r="36" spans="1:8" x14ac:dyDescent="0.3">
      <c r="A36" t="s">
        <v>52</v>
      </c>
      <c r="B36">
        <v>3</v>
      </c>
      <c r="C36">
        <v>28680</v>
      </c>
      <c r="D36">
        <v>436</v>
      </c>
      <c r="E36">
        <v>50</v>
      </c>
      <c r="F36">
        <v>6</v>
      </c>
      <c r="G36" t="s">
        <v>25</v>
      </c>
      <c r="H36" t="str">
        <f t="shared" si="0"/>
        <v>NORMAL ENERGY</v>
      </c>
    </row>
    <row r="37" spans="1:8" x14ac:dyDescent="0.3">
      <c r="A37" t="s">
        <v>53</v>
      </c>
      <c r="B37">
        <v>7</v>
      </c>
      <c r="C37">
        <v>91295</v>
      </c>
      <c r="D37">
        <v>189</v>
      </c>
      <c r="E37">
        <v>100</v>
      </c>
      <c r="F37">
        <v>6</v>
      </c>
      <c r="G37" t="s">
        <v>13</v>
      </c>
      <c r="H37" t="str">
        <f t="shared" si="0"/>
        <v>NORMAL ENERGY</v>
      </c>
    </row>
    <row r="38" spans="1:8" x14ac:dyDescent="0.3">
      <c r="A38" t="s">
        <v>54</v>
      </c>
      <c r="B38">
        <v>2</v>
      </c>
      <c r="C38">
        <v>31111</v>
      </c>
      <c r="D38">
        <v>363</v>
      </c>
      <c r="E38">
        <v>53</v>
      </c>
      <c r="F38">
        <v>4</v>
      </c>
      <c r="G38" t="s">
        <v>45</v>
      </c>
      <c r="H38" t="str">
        <f t="shared" si="0"/>
        <v>NORMAL ENERGY</v>
      </c>
    </row>
    <row r="39" spans="1:8" x14ac:dyDescent="0.3">
      <c r="A39" t="s">
        <v>55</v>
      </c>
      <c r="B39">
        <v>4</v>
      </c>
      <c r="C39">
        <v>57504</v>
      </c>
      <c r="D39">
        <v>192</v>
      </c>
      <c r="E39">
        <v>162</v>
      </c>
      <c r="F39">
        <v>12</v>
      </c>
      <c r="G39" t="s">
        <v>56</v>
      </c>
      <c r="H39" t="str">
        <f t="shared" si="0"/>
        <v>NORMAL ENERGY</v>
      </c>
    </row>
    <row r="40" spans="1:8" x14ac:dyDescent="0.3">
      <c r="A40" t="s">
        <v>57</v>
      </c>
      <c r="B40">
        <v>4</v>
      </c>
      <c r="C40">
        <v>21802</v>
      </c>
      <c r="D40">
        <v>189</v>
      </c>
      <c r="E40">
        <v>81</v>
      </c>
      <c r="F40">
        <v>11</v>
      </c>
      <c r="G40" t="s">
        <v>8</v>
      </c>
      <c r="H40" t="str">
        <f t="shared" si="0"/>
        <v>NORMAL ENERGY</v>
      </c>
    </row>
    <row r="41" spans="1:8" x14ac:dyDescent="0.3">
      <c r="A41" t="s">
        <v>58</v>
      </c>
      <c r="B41">
        <v>7</v>
      </c>
      <c r="C41">
        <v>28155</v>
      </c>
      <c r="D41">
        <v>214</v>
      </c>
      <c r="E41">
        <v>83</v>
      </c>
      <c r="F41">
        <v>5</v>
      </c>
      <c r="G41" t="s">
        <v>8</v>
      </c>
      <c r="H41" t="str">
        <f t="shared" si="0"/>
        <v>NORMAL ENERGY</v>
      </c>
    </row>
    <row r="42" spans="1:8" x14ac:dyDescent="0.3">
      <c r="A42" t="s">
        <v>59</v>
      </c>
      <c r="B42">
        <v>6</v>
      </c>
      <c r="C42">
        <v>93656</v>
      </c>
      <c r="D42">
        <v>204</v>
      </c>
      <c r="E42">
        <v>141</v>
      </c>
      <c r="F42">
        <v>10</v>
      </c>
      <c r="G42" t="s">
        <v>17</v>
      </c>
      <c r="H42" t="str">
        <f t="shared" si="0"/>
        <v>NORMAL ENERGY</v>
      </c>
    </row>
    <row r="43" spans="1:8" x14ac:dyDescent="0.3">
      <c r="A43" t="s">
        <v>60</v>
      </c>
      <c r="B43">
        <v>6</v>
      </c>
      <c r="C43">
        <v>59384</v>
      </c>
      <c r="D43">
        <v>490</v>
      </c>
      <c r="E43">
        <v>144</v>
      </c>
      <c r="F43">
        <v>14</v>
      </c>
      <c r="G43" t="s">
        <v>15</v>
      </c>
      <c r="H43" t="str">
        <f t="shared" si="0"/>
        <v>HIGH ENERGY</v>
      </c>
    </row>
    <row r="44" spans="1:8" x14ac:dyDescent="0.3">
      <c r="A44" t="s">
        <v>61</v>
      </c>
      <c r="B44">
        <v>7</v>
      </c>
      <c r="C44">
        <v>67254</v>
      </c>
      <c r="D44">
        <v>295</v>
      </c>
      <c r="E44">
        <v>121</v>
      </c>
      <c r="F44">
        <v>11</v>
      </c>
      <c r="G44" t="s">
        <v>25</v>
      </c>
      <c r="H44" t="str">
        <f t="shared" si="0"/>
        <v>NORMAL ENERGY</v>
      </c>
    </row>
    <row r="45" spans="1:8" x14ac:dyDescent="0.3">
      <c r="A45" t="s">
        <v>62</v>
      </c>
      <c r="B45">
        <v>6</v>
      </c>
      <c r="C45">
        <v>41918</v>
      </c>
      <c r="D45">
        <v>413</v>
      </c>
      <c r="E45">
        <v>88</v>
      </c>
      <c r="F45">
        <v>10</v>
      </c>
      <c r="G45" t="s">
        <v>10</v>
      </c>
      <c r="H45" t="str">
        <f t="shared" si="0"/>
        <v>NORMAL ENERGY</v>
      </c>
    </row>
    <row r="46" spans="1:8" x14ac:dyDescent="0.3">
      <c r="A46" t="s">
        <v>63</v>
      </c>
      <c r="B46">
        <v>3</v>
      </c>
      <c r="C46">
        <v>80713</v>
      </c>
      <c r="D46">
        <v>213</v>
      </c>
      <c r="E46">
        <v>167</v>
      </c>
      <c r="F46">
        <v>3</v>
      </c>
      <c r="G46" t="s">
        <v>8</v>
      </c>
      <c r="H46" t="str">
        <f t="shared" si="0"/>
        <v>NORMAL ENERGY</v>
      </c>
    </row>
    <row r="47" spans="1:8" x14ac:dyDescent="0.3">
      <c r="A47" t="s">
        <v>64</v>
      </c>
      <c r="B47">
        <v>4</v>
      </c>
      <c r="C47">
        <v>50306</v>
      </c>
      <c r="D47">
        <v>174</v>
      </c>
      <c r="E47">
        <v>52</v>
      </c>
      <c r="F47">
        <v>9</v>
      </c>
      <c r="G47" t="s">
        <v>25</v>
      </c>
      <c r="H47" t="str">
        <f t="shared" si="0"/>
        <v>NORMAL ENERGY</v>
      </c>
    </row>
    <row r="48" spans="1:8" x14ac:dyDescent="0.3">
      <c r="A48" t="s">
        <v>65</v>
      </c>
      <c r="B48">
        <v>7</v>
      </c>
      <c r="C48">
        <v>36646</v>
      </c>
      <c r="D48">
        <v>475</v>
      </c>
      <c r="E48">
        <v>172</v>
      </c>
      <c r="F48">
        <v>9</v>
      </c>
      <c r="G48" t="s">
        <v>25</v>
      </c>
      <c r="H48" t="str">
        <f t="shared" si="0"/>
        <v>HIGH ENERGY</v>
      </c>
    </row>
    <row r="49" spans="1:8" x14ac:dyDescent="0.3">
      <c r="A49" t="s">
        <v>66</v>
      </c>
      <c r="B49">
        <v>4</v>
      </c>
      <c r="C49">
        <v>66843</v>
      </c>
      <c r="D49">
        <v>316</v>
      </c>
      <c r="E49">
        <v>99</v>
      </c>
      <c r="F49">
        <v>8</v>
      </c>
      <c r="G49" t="s">
        <v>51</v>
      </c>
      <c r="H49" t="str">
        <f t="shared" si="0"/>
        <v>NORMAL ENERGY</v>
      </c>
    </row>
    <row r="50" spans="1:8" x14ac:dyDescent="0.3">
      <c r="A50" t="s">
        <v>67</v>
      </c>
      <c r="B50">
        <v>1</v>
      </c>
      <c r="C50">
        <v>36371</v>
      </c>
      <c r="D50">
        <v>376</v>
      </c>
      <c r="E50">
        <v>61</v>
      </c>
      <c r="F50">
        <v>9</v>
      </c>
      <c r="G50" t="s">
        <v>22</v>
      </c>
      <c r="H50" t="str">
        <f t="shared" si="0"/>
        <v>NORMAL ENERGY</v>
      </c>
    </row>
    <row r="51" spans="1:8" x14ac:dyDescent="0.3">
      <c r="A51" t="s">
        <v>68</v>
      </c>
      <c r="B51">
        <v>3</v>
      </c>
      <c r="C51">
        <v>97371</v>
      </c>
      <c r="D51">
        <v>348</v>
      </c>
      <c r="E51">
        <v>103</v>
      </c>
      <c r="F51">
        <v>4</v>
      </c>
      <c r="G51" t="s">
        <v>22</v>
      </c>
      <c r="H51" t="str">
        <f t="shared" si="0"/>
        <v>NORMAL ENERGY</v>
      </c>
    </row>
    <row r="52" spans="1:8" x14ac:dyDescent="0.3">
      <c r="A52" t="s">
        <v>69</v>
      </c>
      <c r="B52">
        <v>5</v>
      </c>
      <c r="C52">
        <v>22049</v>
      </c>
      <c r="D52">
        <v>263</v>
      </c>
      <c r="E52">
        <v>182</v>
      </c>
      <c r="F52">
        <v>14</v>
      </c>
      <c r="G52" t="s">
        <v>56</v>
      </c>
      <c r="H52" t="str">
        <f t="shared" si="0"/>
        <v>NORMAL ENERGY</v>
      </c>
    </row>
    <row r="53" spans="1:8" x14ac:dyDescent="0.3">
      <c r="A53" t="s">
        <v>70</v>
      </c>
      <c r="B53">
        <v>3</v>
      </c>
      <c r="C53">
        <v>51616</v>
      </c>
      <c r="D53">
        <v>493</v>
      </c>
      <c r="E53">
        <v>106</v>
      </c>
      <c r="F53">
        <v>7</v>
      </c>
      <c r="G53" t="s">
        <v>13</v>
      </c>
      <c r="H53" t="str">
        <f t="shared" si="0"/>
        <v>HIGH ENERGY</v>
      </c>
    </row>
    <row r="54" spans="1:8" x14ac:dyDescent="0.3">
      <c r="A54" t="s">
        <v>71</v>
      </c>
      <c r="B54">
        <v>7</v>
      </c>
      <c r="C54">
        <v>40932</v>
      </c>
      <c r="D54">
        <v>456</v>
      </c>
      <c r="E54">
        <v>194</v>
      </c>
      <c r="F54">
        <v>2</v>
      </c>
      <c r="G54" t="s">
        <v>56</v>
      </c>
      <c r="H54" t="str">
        <f t="shared" si="0"/>
        <v>NORMAL ENERGY</v>
      </c>
    </row>
    <row r="55" spans="1:8" x14ac:dyDescent="0.3">
      <c r="A55" t="s">
        <v>72</v>
      </c>
      <c r="B55">
        <v>5</v>
      </c>
      <c r="C55">
        <v>49855</v>
      </c>
      <c r="D55">
        <v>291</v>
      </c>
      <c r="E55">
        <v>161</v>
      </c>
      <c r="F55">
        <v>8</v>
      </c>
      <c r="G55" t="s">
        <v>27</v>
      </c>
      <c r="H55" t="str">
        <f t="shared" si="0"/>
        <v>NORMAL ENERGY</v>
      </c>
    </row>
    <row r="56" spans="1:8" x14ac:dyDescent="0.3">
      <c r="A56" t="s">
        <v>73</v>
      </c>
      <c r="B56">
        <v>1</v>
      </c>
      <c r="C56">
        <v>81434</v>
      </c>
      <c r="D56">
        <v>326</v>
      </c>
      <c r="E56">
        <v>96</v>
      </c>
      <c r="F56">
        <v>2</v>
      </c>
      <c r="G56" t="s">
        <v>10</v>
      </c>
      <c r="H56" t="str">
        <f t="shared" si="0"/>
        <v>NORMAL ENERGY</v>
      </c>
    </row>
    <row r="57" spans="1:8" x14ac:dyDescent="0.3">
      <c r="A57" t="s">
        <v>74</v>
      </c>
      <c r="B57">
        <v>7</v>
      </c>
      <c r="C57">
        <v>92694</v>
      </c>
      <c r="D57">
        <v>276</v>
      </c>
      <c r="E57">
        <v>200</v>
      </c>
      <c r="F57">
        <v>10</v>
      </c>
      <c r="G57" t="s">
        <v>27</v>
      </c>
      <c r="H57" t="str">
        <f t="shared" si="0"/>
        <v>NORMAL ENERGY</v>
      </c>
    </row>
    <row r="58" spans="1:8" x14ac:dyDescent="0.3">
      <c r="A58" t="s">
        <v>75</v>
      </c>
      <c r="B58">
        <v>2</v>
      </c>
      <c r="C58">
        <v>63016</v>
      </c>
      <c r="D58">
        <v>198</v>
      </c>
      <c r="E58">
        <v>134</v>
      </c>
      <c r="F58">
        <v>2</v>
      </c>
      <c r="G58" t="s">
        <v>31</v>
      </c>
      <c r="H58" t="str">
        <f t="shared" si="0"/>
        <v>NORMAL ENERGY</v>
      </c>
    </row>
    <row r="59" spans="1:8" x14ac:dyDescent="0.3">
      <c r="A59" t="s">
        <v>76</v>
      </c>
      <c r="B59">
        <v>4</v>
      </c>
      <c r="C59">
        <v>27400</v>
      </c>
      <c r="D59">
        <v>135</v>
      </c>
      <c r="E59">
        <v>191</v>
      </c>
      <c r="F59">
        <v>2</v>
      </c>
      <c r="G59" t="s">
        <v>27</v>
      </c>
      <c r="H59" t="str">
        <f t="shared" si="0"/>
        <v>NORMAL ENERGY</v>
      </c>
    </row>
    <row r="60" spans="1:8" x14ac:dyDescent="0.3">
      <c r="A60" t="s">
        <v>77</v>
      </c>
      <c r="B60">
        <v>1</v>
      </c>
      <c r="C60">
        <v>62642</v>
      </c>
      <c r="D60">
        <v>195</v>
      </c>
      <c r="E60">
        <v>115</v>
      </c>
      <c r="F60">
        <v>8</v>
      </c>
      <c r="G60" t="s">
        <v>17</v>
      </c>
      <c r="H60" t="str">
        <f t="shared" si="0"/>
        <v>NORMAL ENERGY</v>
      </c>
    </row>
    <row r="61" spans="1:8" x14ac:dyDescent="0.3">
      <c r="A61" t="s">
        <v>78</v>
      </c>
      <c r="B61">
        <v>4</v>
      </c>
      <c r="C61">
        <v>35151</v>
      </c>
      <c r="D61">
        <v>251</v>
      </c>
      <c r="E61">
        <v>124</v>
      </c>
      <c r="F61">
        <v>3</v>
      </c>
      <c r="G61" t="s">
        <v>27</v>
      </c>
      <c r="H61" t="str">
        <f t="shared" si="0"/>
        <v>NORMAL ENERGY</v>
      </c>
    </row>
    <row r="62" spans="1:8" x14ac:dyDescent="0.3">
      <c r="A62" t="s">
        <v>79</v>
      </c>
      <c r="B62">
        <v>6</v>
      </c>
      <c r="C62">
        <v>71407</v>
      </c>
      <c r="D62">
        <v>250</v>
      </c>
      <c r="E62">
        <v>152</v>
      </c>
      <c r="F62">
        <v>6</v>
      </c>
      <c r="G62" t="s">
        <v>56</v>
      </c>
      <c r="H62" t="str">
        <f t="shared" si="0"/>
        <v>NORMAL ENERGY</v>
      </c>
    </row>
    <row r="63" spans="1:8" x14ac:dyDescent="0.3">
      <c r="A63" t="s">
        <v>80</v>
      </c>
      <c r="B63">
        <v>2</v>
      </c>
      <c r="C63">
        <v>86690</v>
      </c>
      <c r="D63">
        <v>289</v>
      </c>
      <c r="E63">
        <v>87</v>
      </c>
      <c r="F63">
        <v>9</v>
      </c>
      <c r="G63" t="s">
        <v>8</v>
      </c>
      <c r="H63" t="str">
        <f t="shared" si="0"/>
        <v>NORMAL ENERGY</v>
      </c>
    </row>
    <row r="64" spans="1:8" x14ac:dyDescent="0.3">
      <c r="A64" t="s">
        <v>81</v>
      </c>
      <c r="B64">
        <v>2</v>
      </c>
      <c r="C64">
        <v>24499</v>
      </c>
      <c r="D64">
        <v>323</v>
      </c>
      <c r="E64">
        <v>99</v>
      </c>
      <c r="F64">
        <v>9</v>
      </c>
      <c r="G64" t="s">
        <v>8</v>
      </c>
      <c r="H64" t="str">
        <f t="shared" si="0"/>
        <v>NORMAL ENERGY</v>
      </c>
    </row>
    <row r="65" spans="1:8" x14ac:dyDescent="0.3">
      <c r="A65" t="s">
        <v>82</v>
      </c>
      <c r="B65">
        <v>1</v>
      </c>
      <c r="C65">
        <v>26295</v>
      </c>
      <c r="D65">
        <v>136</v>
      </c>
      <c r="E65">
        <v>147</v>
      </c>
      <c r="F65">
        <v>4</v>
      </c>
      <c r="G65" t="s">
        <v>22</v>
      </c>
      <c r="H65" t="str">
        <f t="shared" si="0"/>
        <v>NORMAL ENERGY</v>
      </c>
    </row>
    <row r="66" spans="1:8" x14ac:dyDescent="0.3">
      <c r="A66" t="s">
        <v>83</v>
      </c>
      <c r="B66">
        <v>2</v>
      </c>
      <c r="C66">
        <v>79040</v>
      </c>
      <c r="D66">
        <v>367</v>
      </c>
      <c r="E66">
        <v>131</v>
      </c>
      <c r="F66">
        <v>8</v>
      </c>
      <c r="G66" t="s">
        <v>15</v>
      </c>
      <c r="H66" t="str">
        <f t="shared" ref="H66:H129" si="1">IF(D66&gt;470.2,"HIGH ENERGY","NORMAL ENERGY")</f>
        <v>NORMAL ENERGY</v>
      </c>
    </row>
    <row r="67" spans="1:8" x14ac:dyDescent="0.3">
      <c r="A67" t="s">
        <v>84</v>
      </c>
      <c r="B67">
        <v>5</v>
      </c>
      <c r="C67">
        <v>32183</v>
      </c>
      <c r="D67">
        <v>468</v>
      </c>
      <c r="E67">
        <v>79</v>
      </c>
      <c r="F67">
        <v>4</v>
      </c>
      <c r="G67" t="s">
        <v>10</v>
      </c>
      <c r="H67" t="str">
        <f t="shared" si="1"/>
        <v>NORMAL ENERGY</v>
      </c>
    </row>
    <row r="68" spans="1:8" x14ac:dyDescent="0.3">
      <c r="A68" t="s">
        <v>85</v>
      </c>
      <c r="B68">
        <v>2</v>
      </c>
      <c r="C68">
        <v>49299</v>
      </c>
      <c r="D68">
        <v>282</v>
      </c>
      <c r="E68">
        <v>128</v>
      </c>
      <c r="F68">
        <v>7</v>
      </c>
      <c r="G68" t="s">
        <v>10</v>
      </c>
      <c r="H68" t="str">
        <f t="shared" si="1"/>
        <v>NORMAL ENERGY</v>
      </c>
    </row>
    <row r="69" spans="1:8" x14ac:dyDescent="0.3">
      <c r="A69" t="s">
        <v>86</v>
      </c>
      <c r="B69">
        <v>4</v>
      </c>
      <c r="C69">
        <v>32874</v>
      </c>
      <c r="D69">
        <v>112</v>
      </c>
      <c r="E69">
        <v>140</v>
      </c>
      <c r="F69">
        <v>7</v>
      </c>
      <c r="G69" t="s">
        <v>17</v>
      </c>
      <c r="H69" t="str">
        <f t="shared" si="1"/>
        <v>NORMAL ENERGY</v>
      </c>
    </row>
    <row r="70" spans="1:8" x14ac:dyDescent="0.3">
      <c r="A70" t="s">
        <v>87</v>
      </c>
      <c r="B70">
        <v>4</v>
      </c>
      <c r="C70">
        <v>52711</v>
      </c>
      <c r="D70">
        <v>378</v>
      </c>
      <c r="E70">
        <v>101</v>
      </c>
      <c r="F70">
        <v>4</v>
      </c>
      <c r="G70" t="s">
        <v>56</v>
      </c>
      <c r="H70" t="str">
        <f t="shared" si="1"/>
        <v>NORMAL ENERGY</v>
      </c>
    </row>
    <row r="71" spans="1:8" x14ac:dyDescent="0.3">
      <c r="A71" t="s">
        <v>88</v>
      </c>
      <c r="B71">
        <v>7</v>
      </c>
      <c r="C71">
        <v>25539</v>
      </c>
      <c r="D71">
        <v>316</v>
      </c>
      <c r="E71">
        <v>128</v>
      </c>
      <c r="F71">
        <v>8</v>
      </c>
      <c r="G71" t="s">
        <v>22</v>
      </c>
      <c r="H71" t="str">
        <f t="shared" si="1"/>
        <v>NORMAL ENERGY</v>
      </c>
    </row>
    <row r="72" spans="1:8" x14ac:dyDescent="0.3">
      <c r="A72" t="s">
        <v>89</v>
      </c>
      <c r="B72">
        <v>4</v>
      </c>
      <c r="C72">
        <v>73351</v>
      </c>
      <c r="D72">
        <v>454</v>
      </c>
      <c r="E72">
        <v>79</v>
      </c>
      <c r="F72">
        <v>4</v>
      </c>
      <c r="G72" t="s">
        <v>51</v>
      </c>
      <c r="H72" t="str">
        <f t="shared" si="1"/>
        <v>NORMAL ENERGY</v>
      </c>
    </row>
    <row r="73" spans="1:8" x14ac:dyDescent="0.3">
      <c r="A73" t="s">
        <v>90</v>
      </c>
      <c r="B73">
        <v>7</v>
      </c>
      <c r="C73">
        <v>81267</v>
      </c>
      <c r="D73">
        <v>460</v>
      </c>
      <c r="E73">
        <v>155</v>
      </c>
      <c r="F73">
        <v>9</v>
      </c>
      <c r="G73" t="s">
        <v>31</v>
      </c>
      <c r="H73" t="str">
        <f t="shared" si="1"/>
        <v>NORMAL ENERGY</v>
      </c>
    </row>
    <row r="74" spans="1:8" x14ac:dyDescent="0.3">
      <c r="A74" t="s">
        <v>91</v>
      </c>
      <c r="B74">
        <v>4</v>
      </c>
      <c r="C74">
        <v>68354</v>
      </c>
      <c r="D74">
        <v>385</v>
      </c>
      <c r="E74">
        <v>100</v>
      </c>
      <c r="F74">
        <v>11</v>
      </c>
      <c r="G74" t="s">
        <v>10</v>
      </c>
      <c r="H74" t="str">
        <f t="shared" si="1"/>
        <v>NORMAL ENERGY</v>
      </c>
    </row>
    <row r="75" spans="1:8" x14ac:dyDescent="0.3">
      <c r="A75" t="s">
        <v>92</v>
      </c>
      <c r="B75">
        <v>5</v>
      </c>
      <c r="C75">
        <v>22557</v>
      </c>
      <c r="D75">
        <v>372</v>
      </c>
      <c r="E75">
        <v>130</v>
      </c>
      <c r="F75">
        <v>5</v>
      </c>
      <c r="G75" t="s">
        <v>8</v>
      </c>
      <c r="H75" t="str">
        <f t="shared" si="1"/>
        <v>NORMAL ENERGY</v>
      </c>
    </row>
    <row r="76" spans="1:8" x14ac:dyDescent="0.3">
      <c r="A76" t="s">
        <v>93</v>
      </c>
      <c r="B76">
        <v>7</v>
      </c>
      <c r="C76">
        <v>58360</v>
      </c>
      <c r="D76">
        <v>468</v>
      </c>
      <c r="E76">
        <v>182</v>
      </c>
      <c r="F76">
        <v>14</v>
      </c>
      <c r="G76" t="s">
        <v>27</v>
      </c>
      <c r="H76" t="str">
        <f t="shared" si="1"/>
        <v>NORMAL ENERGY</v>
      </c>
    </row>
    <row r="77" spans="1:8" x14ac:dyDescent="0.3">
      <c r="A77" t="s">
        <v>94</v>
      </c>
      <c r="B77">
        <v>3</v>
      </c>
      <c r="C77">
        <v>22200</v>
      </c>
      <c r="D77">
        <v>161</v>
      </c>
      <c r="E77">
        <v>78</v>
      </c>
      <c r="F77">
        <v>2</v>
      </c>
      <c r="G77" t="s">
        <v>27</v>
      </c>
      <c r="H77" t="str">
        <f t="shared" si="1"/>
        <v>NORMAL ENERGY</v>
      </c>
    </row>
    <row r="78" spans="1:8" x14ac:dyDescent="0.3">
      <c r="A78" t="s">
        <v>95</v>
      </c>
      <c r="B78">
        <v>6</v>
      </c>
      <c r="C78">
        <v>88497</v>
      </c>
      <c r="D78">
        <v>183</v>
      </c>
      <c r="E78">
        <v>181</v>
      </c>
      <c r="F78">
        <v>5</v>
      </c>
      <c r="G78" t="s">
        <v>15</v>
      </c>
      <c r="H78" t="str">
        <f t="shared" si="1"/>
        <v>NORMAL ENERGY</v>
      </c>
    </row>
    <row r="79" spans="1:8" x14ac:dyDescent="0.3">
      <c r="A79" t="s">
        <v>96</v>
      </c>
      <c r="B79">
        <v>1</v>
      </c>
      <c r="C79">
        <v>66975</v>
      </c>
      <c r="D79">
        <v>467</v>
      </c>
      <c r="E79">
        <v>187</v>
      </c>
      <c r="F79">
        <v>8</v>
      </c>
      <c r="G79" t="s">
        <v>22</v>
      </c>
      <c r="H79" t="str">
        <f t="shared" si="1"/>
        <v>NORMAL ENERGY</v>
      </c>
    </row>
    <row r="80" spans="1:8" x14ac:dyDescent="0.3">
      <c r="A80" t="s">
        <v>97</v>
      </c>
      <c r="B80">
        <v>4</v>
      </c>
      <c r="C80">
        <v>41357</v>
      </c>
      <c r="D80">
        <v>316</v>
      </c>
      <c r="E80">
        <v>194</v>
      </c>
      <c r="F80">
        <v>12</v>
      </c>
      <c r="G80" t="s">
        <v>56</v>
      </c>
      <c r="H80" t="str">
        <f t="shared" si="1"/>
        <v>NORMAL ENERGY</v>
      </c>
    </row>
    <row r="81" spans="1:8" x14ac:dyDescent="0.3">
      <c r="A81" t="s">
        <v>98</v>
      </c>
      <c r="B81">
        <v>2</v>
      </c>
      <c r="C81">
        <v>97505</v>
      </c>
      <c r="D81">
        <v>441</v>
      </c>
      <c r="E81">
        <v>123</v>
      </c>
      <c r="F81">
        <v>5</v>
      </c>
      <c r="G81" t="s">
        <v>56</v>
      </c>
      <c r="H81" t="str">
        <f t="shared" si="1"/>
        <v>NORMAL ENERGY</v>
      </c>
    </row>
    <row r="82" spans="1:8" x14ac:dyDescent="0.3">
      <c r="A82" t="s">
        <v>99</v>
      </c>
      <c r="B82">
        <v>4</v>
      </c>
      <c r="C82">
        <v>22869</v>
      </c>
      <c r="D82">
        <v>496</v>
      </c>
      <c r="E82">
        <v>66</v>
      </c>
      <c r="F82">
        <v>14</v>
      </c>
      <c r="G82" t="s">
        <v>13</v>
      </c>
      <c r="H82" t="str">
        <f t="shared" si="1"/>
        <v>HIGH ENERGY</v>
      </c>
    </row>
    <row r="83" spans="1:8" x14ac:dyDescent="0.3">
      <c r="A83" t="s">
        <v>100</v>
      </c>
      <c r="B83">
        <v>2</v>
      </c>
      <c r="C83">
        <v>81135</v>
      </c>
      <c r="D83">
        <v>286</v>
      </c>
      <c r="E83">
        <v>133</v>
      </c>
      <c r="F83">
        <v>7</v>
      </c>
      <c r="G83" t="s">
        <v>45</v>
      </c>
      <c r="H83" t="str">
        <f t="shared" si="1"/>
        <v>NORMAL ENERGY</v>
      </c>
    </row>
    <row r="84" spans="1:8" x14ac:dyDescent="0.3">
      <c r="A84" t="s">
        <v>101</v>
      </c>
      <c r="B84">
        <v>6</v>
      </c>
      <c r="C84">
        <v>70108</v>
      </c>
      <c r="D84">
        <v>118</v>
      </c>
      <c r="E84">
        <v>118</v>
      </c>
      <c r="F84">
        <v>10</v>
      </c>
      <c r="G84" t="s">
        <v>10</v>
      </c>
      <c r="H84" t="str">
        <f t="shared" si="1"/>
        <v>NORMAL ENERGY</v>
      </c>
    </row>
    <row r="85" spans="1:8" x14ac:dyDescent="0.3">
      <c r="A85" t="s">
        <v>102</v>
      </c>
      <c r="B85">
        <v>6</v>
      </c>
      <c r="C85">
        <v>58467</v>
      </c>
      <c r="D85">
        <v>276</v>
      </c>
      <c r="E85">
        <v>83</v>
      </c>
      <c r="F85">
        <v>2</v>
      </c>
      <c r="G85" t="s">
        <v>56</v>
      </c>
      <c r="H85" t="str">
        <f t="shared" si="1"/>
        <v>NORMAL ENERGY</v>
      </c>
    </row>
    <row r="86" spans="1:8" x14ac:dyDescent="0.3">
      <c r="A86" t="s">
        <v>103</v>
      </c>
      <c r="B86">
        <v>6</v>
      </c>
      <c r="C86">
        <v>43328</v>
      </c>
      <c r="D86">
        <v>199</v>
      </c>
      <c r="E86">
        <v>55</v>
      </c>
      <c r="F86">
        <v>14</v>
      </c>
      <c r="G86" t="s">
        <v>15</v>
      </c>
      <c r="H86" t="str">
        <f t="shared" si="1"/>
        <v>NORMAL ENERGY</v>
      </c>
    </row>
    <row r="87" spans="1:8" x14ac:dyDescent="0.3">
      <c r="A87" t="s">
        <v>104</v>
      </c>
      <c r="B87">
        <v>2</v>
      </c>
      <c r="C87">
        <v>23987</v>
      </c>
      <c r="D87">
        <v>495</v>
      </c>
      <c r="E87">
        <v>102</v>
      </c>
      <c r="F87">
        <v>6</v>
      </c>
      <c r="G87" t="s">
        <v>8</v>
      </c>
      <c r="H87" t="str">
        <f t="shared" si="1"/>
        <v>HIGH ENERGY</v>
      </c>
    </row>
    <row r="88" spans="1:8" x14ac:dyDescent="0.3">
      <c r="A88" t="s">
        <v>105</v>
      </c>
      <c r="B88">
        <v>4</v>
      </c>
      <c r="C88">
        <v>78871</v>
      </c>
      <c r="D88">
        <v>332</v>
      </c>
      <c r="E88">
        <v>175</v>
      </c>
      <c r="F88">
        <v>12</v>
      </c>
      <c r="G88" t="s">
        <v>22</v>
      </c>
      <c r="H88" t="str">
        <f t="shared" si="1"/>
        <v>NORMAL ENERGY</v>
      </c>
    </row>
    <row r="89" spans="1:8" x14ac:dyDescent="0.3">
      <c r="A89" t="s">
        <v>106</v>
      </c>
      <c r="B89">
        <v>6</v>
      </c>
      <c r="C89">
        <v>42399</v>
      </c>
      <c r="D89">
        <v>175</v>
      </c>
      <c r="E89">
        <v>92</v>
      </c>
      <c r="F89">
        <v>8</v>
      </c>
      <c r="G89" t="s">
        <v>31</v>
      </c>
      <c r="H89" t="str">
        <f t="shared" si="1"/>
        <v>NORMAL ENERGY</v>
      </c>
    </row>
    <row r="90" spans="1:8" x14ac:dyDescent="0.3">
      <c r="A90" t="s">
        <v>107</v>
      </c>
      <c r="B90">
        <v>5</v>
      </c>
      <c r="C90">
        <v>66214</v>
      </c>
      <c r="D90">
        <v>364</v>
      </c>
      <c r="E90">
        <v>164</v>
      </c>
      <c r="F90">
        <v>2</v>
      </c>
      <c r="G90" t="s">
        <v>13</v>
      </c>
      <c r="H90" t="str">
        <f t="shared" si="1"/>
        <v>NORMAL ENERGY</v>
      </c>
    </row>
    <row r="91" spans="1:8" x14ac:dyDescent="0.3">
      <c r="A91" t="s">
        <v>108</v>
      </c>
      <c r="B91">
        <v>7</v>
      </c>
      <c r="C91">
        <v>90271</v>
      </c>
      <c r="D91">
        <v>383</v>
      </c>
      <c r="E91">
        <v>160</v>
      </c>
      <c r="F91">
        <v>5</v>
      </c>
      <c r="G91" t="s">
        <v>15</v>
      </c>
      <c r="H91" t="str">
        <f t="shared" si="1"/>
        <v>NORMAL ENERGY</v>
      </c>
    </row>
    <row r="92" spans="1:8" x14ac:dyDescent="0.3">
      <c r="A92" t="s">
        <v>109</v>
      </c>
      <c r="B92">
        <v>2</v>
      </c>
      <c r="C92">
        <v>64064</v>
      </c>
      <c r="D92">
        <v>305</v>
      </c>
      <c r="E92">
        <v>200</v>
      </c>
      <c r="F92">
        <v>7</v>
      </c>
      <c r="G92" t="s">
        <v>25</v>
      </c>
      <c r="H92" t="str">
        <f t="shared" si="1"/>
        <v>NORMAL ENERGY</v>
      </c>
    </row>
    <row r="93" spans="1:8" x14ac:dyDescent="0.3">
      <c r="A93" t="s">
        <v>110</v>
      </c>
      <c r="B93">
        <v>2</v>
      </c>
      <c r="C93">
        <v>90091</v>
      </c>
      <c r="D93">
        <v>322</v>
      </c>
      <c r="E93">
        <v>129</v>
      </c>
      <c r="F93">
        <v>3</v>
      </c>
      <c r="G93" t="s">
        <v>17</v>
      </c>
      <c r="H93" t="str">
        <f t="shared" si="1"/>
        <v>NORMAL ENERGY</v>
      </c>
    </row>
    <row r="94" spans="1:8" x14ac:dyDescent="0.3">
      <c r="A94" t="s">
        <v>111</v>
      </c>
      <c r="B94">
        <v>4</v>
      </c>
      <c r="C94">
        <v>60818</v>
      </c>
      <c r="D94">
        <v>483</v>
      </c>
      <c r="E94">
        <v>144</v>
      </c>
      <c r="F94">
        <v>11</v>
      </c>
      <c r="G94" t="s">
        <v>31</v>
      </c>
      <c r="H94" t="str">
        <f t="shared" si="1"/>
        <v>HIGH ENERGY</v>
      </c>
    </row>
    <row r="95" spans="1:8" x14ac:dyDescent="0.3">
      <c r="A95" t="s">
        <v>112</v>
      </c>
      <c r="B95">
        <v>2</v>
      </c>
      <c r="C95">
        <v>65525</v>
      </c>
      <c r="D95">
        <v>151</v>
      </c>
      <c r="E95">
        <v>167</v>
      </c>
      <c r="F95">
        <v>6</v>
      </c>
      <c r="G95" t="s">
        <v>25</v>
      </c>
      <c r="H95" t="str">
        <f t="shared" si="1"/>
        <v>NORMAL ENERGY</v>
      </c>
    </row>
    <row r="96" spans="1:8" x14ac:dyDescent="0.3">
      <c r="A96" t="s">
        <v>113</v>
      </c>
      <c r="B96">
        <v>2</v>
      </c>
      <c r="C96">
        <v>39830</v>
      </c>
      <c r="D96">
        <v>438</v>
      </c>
      <c r="E96">
        <v>193</v>
      </c>
      <c r="F96">
        <v>12</v>
      </c>
      <c r="G96" t="s">
        <v>51</v>
      </c>
      <c r="H96" t="str">
        <f t="shared" si="1"/>
        <v>NORMAL ENERGY</v>
      </c>
    </row>
    <row r="97" spans="1:8" x14ac:dyDescent="0.3">
      <c r="A97" t="s">
        <v>114</v>
      </c>
      <c r="B97">
        <v>6</v>
      </c>
      <c r="C97">
        <v>37429</v>
      </c>
      <c r="D97">
        <v>466</v>
      </c>
      <c r="E97">
        <v>57</v>
      </c>
      <c r="F97">
        <v>11</v>
      </c>
      <c r="G97" t="s">
        <v>27</v>
      </c>
      <c r="H97" t="str">
        <f t="shared" si="1"/>
        <v>NORMAL ENERGY</v>
      </c>
    </row>
    <row r="98" spans="1:8" x14ac:dyDescent="0.3">
      <c r="A98" t="s">
        <v>115</v>
      </c>
      <c r="B98">
        <v>4</v>
      </c>
      <c r="C98">
        <v>26893</v>
      </c>
      <c r="D98">
        <v>243</v>
      </c>
      <c r="E98">
        <v>181</v>
      </c>
      <c r="F98">
        <v>2</v>
      </c>
      <c r="G98" t="s">
        <v>17</v>
      </c>
      <c r="H98" t="str">
        <f t="shared" si="1"/>
        <v>NORMAL ENERGY</v>
      </c>
    </row>
    <row r="99" spans="1:8" x14ac:dyDescent="0.3">
      <c r="A99" t="s">
        <v>116</v>
      </c>
      <c r="B99">
        <v>6</v>
      </c>
      <c r="C99">
        <v>99909</v>
      </c>
      <c r="D99">
        <v>472</v>
      </c>
      <c r="E99">
        <v>153</v>
      </c>
      <c r="F99">
        <v>7</v>
      </c>
      <c r="G99" t="s">
        <v>10</v>
      </c>
      <c r="H99" t="str">
        <f t="shared" si="1"/>
        <v>HIGH ENERGY</v>
      </c>
    </row>
    <row r="100" spans="1:8" x14ac:dyDescent="0.3">
      <c r="A100" t="s">
        <v>117</v>
      </c>
      <c r="B100">
        <v>7</v>
      </c>
      <c r="C100">
        <v>67333</v>
      </c>
      <c r="D100">
        <v>168</v>
      </c>
      <c r="E100">
        <v>181</v>
      </c>
      <c r="F100">
        <v>7</v>
      </c>
      <c r="G100" t="s">
        <v>8</v>
      </c>
      <c r="H100" t="str">
        <f t="shared" si="1"/>
        <v>NORMAL ENERGY</v>
      </c>
    </row>
    <row r="101" spans="1:8" x14ac:dyDescent="0.3">
      <c r="A101" t="s">
        <v>118</v>
      </c>
      <c r="B101">
        <v>7</v>
      </c>
      <c r="C101">
        <v>23436</v>
      </c>
      <c r="D101">
        <v>198</v>
      </c>
      <c r="E101">
        <v>74</v>
      </c>
      <c r="F101">
        <v>14</v>
      </c>
      <c r="G101" t="s">
        <v>17</v>
      </c>
      <c r="H101" t="str">
        <f t="shared" si="1"/>
        <v>NORMAL ENERGY</v>
      </c>
    </row>
    <row r="102" spans="1:8" x14ac:dyDescent="0.3">
      <c r="A102" t="s">
        <v>119</v>
      </c>
      <c r="B102">
        <v>6</v>
      </c>
      <c r="C102">
        <v>94290</v>
      </c>
      <c r="D102">
        <v>495</v>
      </c>
      <c r="E102">
        <v>145</v>
      </c>
      <c r="F102">
        <v>5</v>
      </c>
      <c r="G102" t="s">
        <v>45</v>
      </c>
      <c r="H102" t="str">
        <f t="shared" si="1"/>
        <v>HIGH ENERGY</v>
      </c>
    </row>
    <row r="103" spans="1:8" x14ac:dyDescent="0.3">
      <c r="A103" t="s">
        <v>120</v>
      </c>
      <c r="B103">
        <v>7</v>
      </c>
      <c r="C103">
        <v>96213</v>
      </c>
      <c r="D103">
        <v>124</v>
      </c>
      <c r="E103">
        <v>142</v>
      </c>
      <c r="F103">
        <v>14</v>
      </c>
      <c r="G103" t="s">
        <v>25</v>
      </c>
      <c r="H103" t="str">
        <f t="shared" si="1"/>
        <v>NORMAL ENERGY</v>
      </c>
    </row>
    <row r="104" spans="1:8" x14ac:dyDescent="0.3">
      <c r="A104" t="s">
        <v>121</v>
      </c>
      <c r="B104">
        <v>4</v>
      </c>
      <c r="C104">
        <v>25895</v>
      </c>
      <c r="D104">
        <v>478</v>
      </c>
      <c r="E104">
        <v>110</v>
      </c>
      <c r="F104">
        <v>9</v>
      </c>
      <c r="G104" t="s">
        <v>10</v>
      </c>
      <c r="H104" t="str">
        <f t="shared" si="1"/>
        <v>HIGH ENERGY</v>
      </c>
    </row>
    <row r="105" spans="1:8" x14ac:dyDescent="0.3">
      <c r="A105" t="s">
        <v>122</v>
      </c>
      <c r="B105">
        <v>1</v>
      </c>
      <c r="C105">
        <v>39738</v>
      </c>
      <c r="D105">
        <v>152</v>
      </c>
      <c r="E105">
        <v>171</v>
      </c>
      <c r="F105">
        <v>5</v>
      </c>
      <c r="G105" t="s">
        <v>45</v>
      </c>
      <c r="H105" t="str">
        <f t="shared" si="1"/>
        <v>NORMAL ENERGY</v>
      </c>
    </row>
    <row r="106" spans="1:8" x14ac:dyDescent="0.3">
      <c r="A106" t="s">
        <v>123</v>
      </c>
      <c r="B106">
        <v>6</v>
      </c>
      <c r="C106">
        <v>50746</v>
      </c>
      <c r="D106">
        <v>250</v>
      </c>
      <c r="E106">
        <v>100</v>
      </c>
      <c r="F106">
        <v>9</v>
      </c>
      <c r="G106" t="s">
        <v>27</v>
      </c>
      <c r="H106" t="str">
        <f t="shared" si="1"/>
        <v>NORMAL ENERGY</v>
      </c>
    </row>
    <row r="107" spans="1:8" x14ac:dyDescent="0.3">
      <c r="A107" t="s">
        <v>124</v>
      </c>
      <c r="B107">
        <v>5</v>
      </c>
      <c r="C107">
        <v>69377</v>
      </c>
      <c r="D107">
        <v>243</v>
      </c>
      <c r="E107">
        <v>196</v>
      </c>
      <c r="F107">
        <v>14</v>
      </c>
      <c r="G107" t="s">
        <v>45</v>
      </c>
      <c r="H107" t="str">
        <f t="shared" si="1"/>
        <v>NORMAL ENERGY</v>
      </c>
    </row>
    <row r="108" spans="1:8" x14ac:dyDescent="0.3">
      <c r="A108" t="s">
        <v>125</v>
      </c>
      <c r="B108">
        <v>5</v>
      </c>
      <c r="C108">
        <v>68404</v>
      </c>
      <c r="D108">
        <v>156</v>
      </c>
      <c r="E108">
        <v>70</v>
      </c>
      <c r="F108">
        <v>9</v>
      </c>
      <c r="G108" t="s">
        <v>13</v>
      </c>
      <c r="H108" t="str">
        <f t="shared" si="1"/>
        <v>NORMAL ENERGY</v>
      </c>
    </row>
    <row r="109" spans="1:8" x14ac:dyDescent="0.3">
      <c r="A109" t="s">
        <v>126</v>
      </c>
      <c r="B109">
        <v>2</v>
      </c>
      <c r="C109">
        <v>74045</v>
      </c>
      <c r="D109">
        <v>138</v>
      </c>
      <c r="E109">
        <v>54</v>
      </c>
      <c r="F109">
        <v>6</v>
      </c>
      <c r="G109" t="s">
        <v>13</v>
      </c>
      <c r="H109" t="str">
        <f t="shared" si="1"/>
        <v>NORMAL ENERGY</v>
      </c>
    </row>
    <row r="110" spans="1:8" x14ac:dyDescent="0.3">
      <c r="A110" t="s">
        <v>127</v>
      </c>
      <c r="B110">
        <v>7</v>
      </c>
      <c r="C110">
        <v>59790</v>
      </c>
      <c r="D110">
        <v>208</v>
      </c>
      <c r="E110">
        <v>141</v>
      </c>
      <c r="F110">
        <v>14</v>
      </c>
      <c r="G110" t="s">
        <v>51</v>
      </c>
      <c r="H110" t="str">
        <f t="shared" si="1"/>
        <v>NORMAL ENERGY</v>
      </c>
    </row>
    <row r="111" spans="1:8" x14ac:dyDescent="0.3">
      <c r="A111" t="s">
        <v>128</v>
      </c>
      <c r="B111">
        <v>5</v>
      </c>
      <c r="C111">
        <v>25600</v>
      </c>
      <c r="D111">
        <v>280</v>
      </c>
      <c r="E111">
        <v>110</v>
      </c>
      <c r="F111">
        <v>5</v>
      </c>
      <c r="G111" t="s">
        <v>22</v>
      </c>
      <c r="H111" t="str">
        <f t="shared" si="1"/>
        <v>NORMAL ENERGY</v>
      </c>
    </row>
    <row r="112" spans="1:8" x14ac:dyDescent="0.3">
      <c r="A112" t="s">
        <v>129</v>
      </c>
      <c r="B112">
        <v>2</v>
      </c>
      <c r="C112">
        <v>60764</v>
      </c>
      <c r="D112">
        <v>141</v>
      </c>
      <c r="E112">
        <v>71</v>
      </c>
      <c r="F112">
        <v>13</v>
      </c>
      <c r="G112" t="s">
        <v>31</v>
      </c>
      <c r="H112" t="str">
        <f t="shared" si="1"/>
        <v>NORMAL ENERGY</v>
      </c>
    </row>
    <row r="113" spans="1:8" x14ac:dyDescent="0.3">
      <c r="A113" t="s">
        <v>130</v>
      </c>
      <c r="B113">
        <v>1</v>
      </c>
      <c r="C113">
        <v>94543</v>
      </c>
      <c r="D113">
        <v>285</v>
      </c>
      <c r="E113">
        <v>198</v>
      </c>
      <c r="F113">
        <v>14</v>
      </c>
      <c r="G113" t="s">
        <v>31</v>
      </c>
      <c r="H113" t="str">
        <f t="shared" si="1"/>
        <v>NORMAL ENERGY</v>
      </c>
    </row>
    <row r="114" spans="1:8" x14ac:dyDescent="0.3">
      <c r="A114" t="s">
        <v>131</v>
      </c>
      <c r="B114">
        <v>4</v>
      </c>
      <c r="C114">
        <v>65714</v>
      </c>
      <c r="D114">
        <v>497</v>
      </c>
      <c r="E114">
        <v>119</v>
      </c>
      <c r="F114">
        <v>3</v>
      </c>
      <c r="G114" t="s">
        <v>10</v>
      </c>
      <c r="H114" t="str">
        <f t="shared" si="1"/>
        <v>HIGH ENERGY</v>
      </c>
    </row>
    <row r="115" spans="1:8" x14ac:dyDescent="0.3">
      <c r="A115" t="s">
        <v>132</v>
      </c>
      <c r="B115">
        <v>4</v>
      </c>
      <c r="C115">
        <v>76835</v>
      </c>
      <c r="D115">
        <v>322</v>
      </c>
      <c r="E115">
        <v>50</v>
      </c>
      <c r="F115">
        <v>12</v>
      </c>
      <c r="G115" t="s">
        <v>27</v>
      </c>
      <c r="H115" t="str">
        <f t="shared" si="1"/>
        <v>NORMAL ENERGY</v>
      </c>
    </row>
    <row r="116" spans="1:8" x14ac:dyDescent="0.3">
      <c r="A116" t="s">
        <v>133</v>
      </c>
      <c r="B116">
        <v>4</v>
      </c>
      <c r="C116">
        <v>93744</v>
      </c>
      <c r="D116">
        <v>221</v>
      </c>
      <c r="E116">
        <v>182</v>
      </c>
      <c r="F116">
        <v>4</v>
      </c>
      <c r="G116" t="s">
        <v>56</v>
      </c>
      <c r="H116" t="str">
        <f t="shared" si="1"/>
        <v>NORMAL ENERGY</v>
      </c>
    </row>
    <row r="117" spans="1:8" x14ac:dyDescent="0.3">
      <c r="A117" t="s">
        <v>134</v>
      </c>
      <c r="B117">
        <v>5</v>
      </c>
      <c r="C117">
        <v>76491</v>
      </c>
      <c r="D117">
        <v>232</v>
      </c>
      <c r="E117">
        <v>61</v>
      </c>
      <c r="F117">
        <v>4</v>
      </c>
      <c r="G117" t="s">
        <v>51</v>
      </c>
      <c r="H117" t="str">
        <f t="shared" si="1"/>
        <v>NORMAL ENERGY</v>
      </c>
    </row>
    <row r="118" spans="1:8" x14ac:dyDescent="0.3">
      <c r="A118" t="s">
        <v>135</v>
      </c>
      <c r="B118">
        <v>1</v>
      </c>
      <c r="C118">
        <v>38589</v>
      </c>
      <c r="D118">
        <v>262</v>
      </c>
      <c r="E118">
        <v>139</v>
      </c>
      <c r="F118">
        <v>5</v>
      </c>
      <c r="G118" t="s">
        <v>13</v>
      </c>
      <c r="H118" t="str">
        <f t="shared" si="1"/>
        <v>NORMAL ENERGY</v>
      </c>
    </row>
    <row r="119" spans="1:8" x14ac:dyDescent="0.3">
      <c r="A119" t="s">
        <v>136</v>
      </c>
      <c r="B119">
        <v>5</v>
      </c>
      <c r="C119">
        <v>63484</v>
      </c>
      <c r="D119">
        <v>314</v>
      </c>
      <c r="E119">
        <v>95</v>
      </c>
      <c r="F119">
        <v>5</v>
      </c>
      <c r="G119" t="s">
        <v>10</v>
      </c>
      <c r="H119" t="str">
        <f t="shared" si="1"/>
        <v>NORMAL ENERGY</v>
      </c>
    </row>
    <row r="120" spans="1:8" x14ac:dyDescent="0.3">
      <c r="A120" t="s">
        <v>137</v>
      </c>
      <c r="B120">
        <v>7</v>
      </c>
      <c r="C120">
        <v>56212</v>
      </c>
      <c r="D120">
        <v>320</v>
      </c>
      <c r="E120">
        <v>83</v>
      </c>
      <c r="F120">
        <v>11</v>
      </c>
      <c r="G120" t="s">
        <v>56</v>
      </c>
      <c r="H120" t="str">
        <f t="shared" si="1"/>
        <v>NORMAL ENERGY</v>
      </c>
    </row>
    <row r="121" spans="1:8" x14ac:dyDescent="0.3">
      <c r="A121" t="s">
        <v>138</v>
      </c>
      <c r="B121">
        <v>5</v>
      </c>
      <c r="C121">
        <v>63525</v>
      </c>
      <c r="D121">
        <v>334</v>
      </c>
      <c r="E121">
        <v>127</v>
      </c>
      <c r="F121">
        <v>12</v>
      </c>
      <c r="G121" t="s">
        <v>31</v>
      </c>
      <c r="H121" t="str">
        <f t="shared" si="1"/>
        <v>NORMAL ENERGY</v>
      </c>
    </row>
    <row r="122" spans="1:8" x14ac:dyDescent="0.3">
      <c r="A122" t="s">
        <v>139</v>
      </c>
      <c r="B122">
        <v>1</v>
      </c>
      <c r="C122">
        <v>67202</v>
      </c>
      <c r="D122">
        <v>430</v>
      </c>
      <c r="E122">
        <v>94</v>
      </c>
      <c r="F122">
        <v>12</v>
      </c>
      <c r="G122" t="s">
        <v>22</v>
      </c>
      <c r="H122" t="str">
        <f t="shared" si="1"/>
        <v>NORMAL ENERGY</v>
      </c>
    </row>
    <row r="123" spans="1:8" x14ac:dyDescent="0.3">
      <c r="A123" t="s">
        <v>140</v>
      </c>
      <c r="B123">
        <v>1</v>
      </c>
      <c r="C123">
        <v>52635</v>
      </c>
      <c r="D123">
        <v>245</v>
      </c>
      <c r="E123">
        <v>122</v>
      </c>
      <c r="F123">
        <v>6</v>
      </c>
      <c r="G123" t="s">
        <v>45</v>
      </c>
      <c r="H123" t="str">
        <f t="shared" si="1"/>
        <v>NORMAL ENERGY</v>
      </c>
    </row>
    <row r="124" spans="1:8" x14ac:dyDescent="0.3">
      <c r="A124" t="s">
        <v>141</v>
      </c>
      <c r="B124">
        <v>7</v>
      </c>
      <c r="C124">
        <v>83208</v>
      </c>
      <c r="D124">
        <v>338</v>
      </c>
      <c r="E124">
        <v>75</v>
      </c>
      <c r="F124">
        <v>5</v>
      </c>
      <c r="G124" t="s">
        <v>13</v>
      </c>
      <c r="H124" t="str">
        <f t="shared" si="1"/>
        <v>NORMAL ENERGY</v>
      </c>
    </row>
    <row r="125" spans="1:8" x14ac:dyDescent="0.3">
      <c r="A125" t="s">
        <v>142</v>
      </c>
      <c r="B125">
        <v>1</v>
      </c>
      <c r="C125">
        <v>53828</v>
      </c>
      <c r="D125">
        <v>175</v>
      </c>
      <c r="E125">
        <v>96</v>
      </c>
      <c r="F125">
        <v>12</v>
      </c>
      <c r="G125" t="s">
        <v>10</v>
      </c>
      <c r="H125" t="str">
        <f t="shared" si="1"/>
        <v>NORMAL ENERGY</v>
      </c>
    </row>
    <row r="126" spans="1:8" x14ac:dyDescent="0.3">
      <c r="A126" t="s">
        <v>143</v>
      </c>
      <c r="B126">
        <v>1</v>
      </c>
      <c r="C126">
        <v>38711</v>
      </c>
      <c r="D126">
        <v>108</v>
      </c>
      <c r="E126">
        <v>170</v>
      </c>
      <c r="F126">
        <v>11</v>
      </c>
      <c r="G126" t="s">
        <v>17</v>
      </c>
      <c r="H126" t="str">
        <f t="shared" si="1"/>
        <v>NORMAL ENERGY</v>
      </c>
    </row>
    <row r="127" spans="1:8" x14ac:dyDescent="0.3">
      <c r="A127" t="s">
        <v>144</v>
      </c>
      <c r="B127">
        <v>4</v>
      </c>
      <c r="C127">
        <v>23420</v>
      </c>
      <c r="D127">
        <v>173</v>
      </c>
      <c r="E127">
        <v>105</v>
      </c>
      <c r="F127">
        <v>9</v>
      </c>
      <c r="G127" t="s">
        <v>56</v>
      </c>
      <c r="H127" t="str">
        <f t="shared" si="1"/>
        <v>NORMAL ENERGY</v>
      </c>
    </row>
    <row r="128" spans="1:8" x14ac:dyDescent="0.3">
      <c r="A128" t="s">
        <v>145</v>
      </c>
      <c r="B128">
        <v>7</v>
      </c>
      <c r="C128">
        <v>20301</v>
      </c>
      <c r="D128">
        <v>500</v>
      </c>
      <c r="E128">
        <v>143</v>
      </c>
      <c r="F128">
        <v>7</v>
      </c>
      <c r="G128" t="s">
        <v>45</v>
      </c>
      <c r="H128" t="str">
        <f t="shared" si="1"/>
        <v>HIGH ENERGY</v>
      </c>
    </row>
    <row r="129" spans="1:8" x14ac:dyDescent="0.3">
      <c r="A129" t="s">
        <v>146</v>
      </c>
      <c r="B129">
        <v>3</v>
      </c>
      <c r="C129">
        <v>65236</v>
      </c>
      <c r="D129">
        <v>352</v>
      </c>
      <c r="E129">
        <v>156</v>
      </c>
      <c r="F129">
        <v>7</v>
      </c>
      <c r="G129" t="s">
        <v>13</v>
      </c>
      <c r="H129" t="str">
        <f t="shared" si="1"/>
        <v>NORMAL ENERGY</v>
      </c>
    </row>
    <row r="130" spans="1:8" x14ac:dyDescent="0.3">
      <c r="A130" t="s">
        <v>147</v>
      </c>
      <c r="B130">
        <v>3</v>
      </c>
      <c r="C130">
        <v>86235</v>
      </c>
      <c r="D130">
        <v>329</v>
      </c>
      <c r="E130">
        <v>112</v>
      </c>
      <c r="F130">
        <v>9</v>
      </c>
      <c r="G130" t="s">
        <v>31</v>
      </c>
      <c r="H130" t="str">
        <f t="shared" ref="H130:H193" si="2">IF(D130&gt;470.2,"HIGH ENERGY","NORMAL ENERGY")</f>
        <v>NORMAL ENERGY</v>
      </c>
    </row>
    <row r="131" spans="1:8" x14ac:dyDescent="0.3">
      <c r="A131" t="s">
        <v>148</v>
      </c>
      <c r="B131">
        <v>1</v>
      </c>
      <c r="C131">
        <v>74240</v>
      </c>
      <c r="D131">
        <v>106</v>
      </c>
      <c r="E131">
        <v>97</v>
      </c>
      <c r="F131">
        <v>8</v>
      </c>
      <c r="G131" t="s">
        <v>15</v>
      </c>
      <c r="H131" t="str">
        <f t="shared" si="2"/>
        <v>NORMAL ENERGY</v>
      </c>
    </row>
    <row r="132" spans="1:8" x14ac:dyDescent="0.3">
      <c r="A132" t="s">
        <v>149</v>
      </c>
      <c r="B132">
        <v>3</v>
      </c>
      <c r="C132">
        <v>85726</v>
      </c>
      <c r="D132">
        <v>273</v>
      </c>
      <c r="E132">
        <v>110</v>
      </c>
      <c r="F132">
        <v>11</v>
      </c>
      <c r="G132" t="s">
        <v>27</v>
      </c>
      <c r="H132" t="str">
        <f t="shared" si="2"/>
        <v>NORMAL ENERGY</v>
      </c>
    </row>
    <row r="133" spans="1:8" x14ac:dyDescent="0.3">
      <c r="A133" t="s">
        <v>150</v>
      </c>
      <c r="B133">
        <v>3</v>
      </c>
      <c r="C133">
        <v>30492</v>
      </c>
      <c r="D133">
        <v>240</v>
      </c>
      <c r="E133">
        <v>130</v>
      </c>
      <c r="F133">
        <v>12</v>
      </c>
      <c r="G133" t="s">
        <v>56</v>
      </c>
      <c r="H133" t="str">
        <f t="shared" si="2"/>
        <v>NORMAL ENERGY</v>
      </c>
    </row>
    <row r="134" spans="1:8" x14ac:dyDescent="0.3">
      <c r="A134" t="s">
        <v>151</v>
      </c>
      <c r="B134">
        <v>1</v>
      </c>
      <c r="C134">
        <v>26102</v>
      </c>
      <c r="D134">
        <v>267</v>
      </c>
      <c r="E134">
        <v>75</v>
      </c>
      <c r="F134">
        <v>13</v>
      </c>
      <c r="G134" t="s">
        <v>31</v>
      </c>
      <c r="H134" t="str">
        <f t="shared" si="2"/>
        <v>NORMAL ENERGY</v>
      </c>
    </row>
    <row r="135" spans="1:8" x14ac:dyDescent="0.3">
      <c r="A135" t="s">
        <v>152</v>
      </c>
      <c r="B135">
        <v>3</v>
      </c>
      <c r="C135">
        <v>70336</v>
      </c>
      <c r="D135">
        <v>269</v>
      </c>
      <c r="E135">
        <v>85</v>
      </c>
      <c r="F135">
        <v>11</v>
      </c>
      <c r="G135" t="s">
        <v>13</v>
      </c>
      <c r="H135" t="str">
        <f t="shared" si="2"/>
        <v>NORMAL ENERGY</v>
      </c>
    </row>
    <row r="136" spans="1:8" x14ac:dyDescent="0.3">
      <c r="A136" t="s">
        <v>153</v>
      </c>
      <c r="B136">
        <v>5</v>
      </c>
      <c r="C136">
        <v>46641</v>
      </c>
      <c r="D136">
        <v>492</v>
      </c>
      <c r="E136">
        <v>50</v>
      </c>
      <c r="F136">
        <v>14</v>
      </c>
      <c r="G136" t="s">
        <v>56</v>
      </c>
      <c r="H136" t="str">
        <f t="shared" si="2"/>
        <v>HIGH ENERGY</v>
      </c>
    </row>
    <row r="137" spans="1:8" x14ac:dyDescent="0.3">
      <c r="A137" t="s">
        <v>154</v>
      </c>
      <c r="B137">
        <v>2</v>
      </c>
      <c r="C137">
        <v>54584</v>
      </c>
      <c r="D137">
        <v>382</v>
      </c>
      <c r="E137">
        <v>57</v>
      </c>
      <c r="F137">
        <v>9</v>
      </c>
      <c r="G137" t="s">
        <v>51</v>
      </c>
      <c r="H137" t="str">
        <f t="shared" si="2"/>
        <v>NORMAL ENERGY</v>
      </c>
    </row>
    <row r="138" spans="1:8" x14ac:dyDescent="0.3">
      <c r="A138" t="s">
        <v>155</v>
      </c>
      <c r="B138">
        <v>7</v>
      </c>
      <c r="C138">
        <v>52745</v>
      </c>
      <c r="D138">
        <v>221</v>
      </c>
      <c r="E138">
        <v>162</v>
      </c>
      <c r="F138">
        <v>3</v>
      </c>
      <c r="G138" t="s">
        <v>45</v>
      </c>
      <c r="H138" t="str">
        <f t="shared" si="2"/>
        <v>NORMAL ENERGY</v>
      </c>
    </row>
    <row r="139" spans="1:8" x14ac:dyDescent="0.3">
      <c r="A139" t="s">
        <v>156</v>
      </c>
      <c r="B139">
        <v>2</v>
      </c>
      <c r="C139">
        <v>43093</v>
      </c>
      <c r="D139">
        <v>293</v>
      </c>
      <c r="E139">
        <v>148</v>
      </c>
      <c r="F139">
        <v>10</v>
      </c>
      <c r="G139" t="s">
        <v>13</v>
      </c>
      <c r="H139" t="str">
        <f t="shared" si="2"/>
        <v>NORMAL ENERGY</v>
      </c>
    </row>
    <row r="140" spans="1:8" x14ac:dyDescent="0.3">
      <c r="A140" t="s">
        <v>157</v>
      </c>
      <c r="B140">
        <v>1</v>
      </c>
      <c r="C140">
        <v>86105</v>
      </c>
      <c r="D140">
        <v>104</v>
      </c>
      <c r="E140">
        <v>96</v>
      </c>
      <c r="F140">
        <v>2</v>
      </c>
      <c r="G140" t="s">
        <v>51</v>
      </c>
      <c r="H140" t="str">
        <f t="shared" si="2"/>
        <v>NORMAL ENERGY</v>
      </c>
    </row>
    <row r="141" spans="1:8" x14ac:dyDescent="0.3">
      <c r="A141" t="s">
        <v>158</v>
      </c>
      <c r="B141">
        <v>4</v>
      </c>
      <c r="C141">
        <v>71885</v>
      </c>
      <c r="D141">
        <v>128</v>
      </c>
      <c r="E141">
        <v>176</v>
      </c>
      <c r="F141">
        <v>9</v>
      </c>
      <c r="G141" t="s">
        <v>25</v>
      </c>
      <c r="H141" t="str">
        <f t="shared" si="2"/>
        <v>NORMAL ENERGY</v>
      </c>
    </row>
    <row r="142" spans="1:8" x14ac:dyDescent="0.3">
      <c r="A142" t="s">
        <v>159</v>
      </c>
      <c r="B142">
        <v>7</v>
      </c>
      <c r="C142">
        <v>56631</v>
      </c>
      <c r="D142">
        <v>264</v>
      </c>
      <c r="E142">
        <v>105</v>
      </c>
      <c r="F142">
        <v>13</v>
      </c>
      <c r="G142" t="s">
        <v>10</v>
      </c>
      <c r="H142" t="str">
        <f t="shared" si="2"/>
        <v>NORMAL ENERGY</v>
      </c>
    </row>
    <row r="143" spans="1:8" x14ac:dyDescent="0.3">
      <c r="A143" t="s">
        <v>160</v>
      </c>
      <c r="B143">
        <v>1</v>
      </c>
      <c r="C143">
        <v>92991</v>
      </c>
      <c r="D143">
        <v>438</v>
      </c>
      <c r="E143">
        <v>63</v>
      </c>
      <c r="F143">
        <v>12</v>
      </c>
      <c r="G143" t="s">
        <v>15</v>
      </c>
      <c r="H143" t="str">
        <f t="shared" si="2"/>
        <v>NORMAL ENERGY</v>
      </c>
    </row>
    <row r="144" spans="1:8" x14ac:dyDescent="0.3">
      <c r="A144" t="s">
        <v>161</v>
      </c>
      <c r="B144">
        <v>4</v>
      </c>
      <c r="C144">
        <v>24014</v>
      </c>
      <c r="D144">
        <v>235</v>
      </c>
      <c r="E144">
        <v>77</v>
      </c>
      <c r="F144">
        <v>13</v>
      </c>
      <c r="G144" t="s">
        <v>45</v>
      </c>
      <c r="H144" t="str">
        <f t="shared" si="2"/>
        <v>NORMAL ENERGY</v>
      </c>
    </row>
    <row r="145" spans="1:8" x14ac:dyDescent="0.3">
      <c r="A145" t="s">
        <v>162</v>
      </c>
      <c r="B145">
        <v>2</v>
      </c>
      <c r="C145">
        <v>31093</v>
      </c>
      <c r="D145">
        <v>464</v>
      </c>
      <c r="E145">
        <v>127</v>
      </c>
      <c r="F145">
        <v>13</v>
      </c>
      <c r="G145" t="s">
        <v>56</v>
      </c>
      <c r="H145" t="str">
        <f t="shared" si="2"/>
        <v>NORMAL ENERGY</v>
      </c>
    </row>
    <row r="146" spans="1:8" x14ac:dyDescent="0.3">
      <c r="A146" t="s">
        <v>163</v>
      </c>
      <c r="B146">
        <v>1</v>
      </c>
      <c r="C146">
        <v>38070</v>
      </c>
      <c r="D146">
        <v>420</v>
      </c>
      <c r="E146">
        <v>179</v>
      </c>
      <c r="F146">
        <v>5</v>
      </c>
      <c r="G146" t="s">
        <v>27</v>
      </c>
      <c r="H146" t="str">
        <f t="shared" si="2"/>
        <v>NORMAL ENERGY</v>
      </c>
    </row>
    <row r="147" spans="1:8" x14ac:dyDescent="0.3">
      <c r="A147" t="s">
        <v>164</v>
      </c>
      <c r="B147">
        <v>7</v>
      </c>
      <c r="C147">
        <v>55777</v>
      </c>
      <c r="D147">
        <v>441</v>
      </c>
      <c r="E147">
        <v>158</v>
      </c>
      <c r="F147">
        <v>5</v>
      </c>
      <c r="G147" t="s">
        <v>31</v>
      </c>
      <c r="H147" t="str">
        <f t="shared" si="2"/>
        <v>NORMAL ENERGY</v>
      </c>
    </row>
    <row r="148" spans="1:8" x14ac:dyDescent="0.3">
      <c r="A148" t="s">
        <v>165</v>
      </c>
      <c r="B148">
        <v>7</v>
      </c>
      <c r="C148">
        <v>76958</v>
      </c>
      <c r="D148">
        <v>244</v>
      </c>
      <c r="E148">
        <v>63</v>
      </c>
      <c r="F148">
        <v>6</v>
      </c>
      <c r="G148" t="s">
        <v>17</v>
      </c>
      <c r="H148" t="str">
        <f t="shared" si="2"/>
        <v>NORMAL ENERGY</v>
      </c>
    </row>
    <row r="149" spans="1:8" x14ac:dyDescent="0.3">
      <c r="A149" t="s">
        <v>166</v>
      </c>
      <c r="B149">
        <v>6</v>
      </c>
      <c r="C149">
        <v>30729</v>
      </c>
      <c r="D149">
        <v>426</v>
      </c>
      <c r="E149">
        <v>105</v>
      </c>
      <c r="F149">
        <v>9</v>
      </c>
      <c r="G149" t="s">
        <v>31</v>
      </c>
      <c r="H149" t="str">
        <f t="shared" si="2"/>
        <v>NORMAL ENERGY</v>
      </c>
    </row>
    <row r="150" spans="1:8" x14ac:dyDescent="0.3">
      <c r="A150" t="s">
        <v>167</v>
      </c>
      <c r="B150">
        <v>5</v>
      </c>
      <c r="C150">
        <v>65017</v>
      </c>
      <c r="D150">
        <v>316</v>
      </c>
      <c r="E150">
        <v>164</v>
      </c>
      <c r="F150">
        <v>6</v>
      </c>
      <c r="G150" t="s">
        <v>56</v>
      </c>
      <c r="H150" t="str">
        <f t="shared" si="2"/>
        <v>NORMAL ENERGY</v>
      </c>
    </row>
    <row r="151" spans="1:8" x14ac:dyDescent="0.3">
      <c r="A151" t="s">
        <v>168</v>
      </c>
      <c r="B151">
        <v>3</v>
      </c>
      <c r="C151">
        <v>86320</v>
      </c>
      <c r="D151">
        <v>400</v>
      </c>
      <c r="E151">
        <v>56</v>
      </c>
      <c r="F151">
        <v>9</v>
      </c>
      <c r="G151" t="s">
        <v>15</v>
      </c>
      <c r="H151" t="str">
        <f t="shared" si="2"/>
        <v>NORMAL ENERGY</v>
      </c>
    </row>
    <row r="152" spans="1:8" x14ac:dyDescent="0.3">
      <c r="A152" t="s">
        <v>169</v>
      </c>
      <c r="B152">
        <v>4</v>
      </c>
      <c r="C152">
        <v>47751</v>
      </c>
      <c r="D152">
        <v>231</v>
      </c>
      <c r="E152">
        <v>52</v>
      </c>
      <c r="F152">
        <v>11</v>
      </c>
      <c r="G152" t="s">
        <v>31</v>
      </c>
      <c r="H152" t="str">
        <f t="shared" si="2"/>
        <v>NORMAL ENERGY</v>
      </c>
    </row>
    <row r="153" spans="1:8" x14ac:dyDescent="0.3">
      <c r="A153" t="s">
        <v>170</v>
      </c>
      <c r="B153">
        <v>6</v>
      </c>
      <c r="C153">
        <v>98069</v>
      </c>
      <c r="D153">
        <v>391</v>
      </c>
      <c r="E153">
        <v>160</v>
      </c>
      <c r="F153">
        <v>2</v>
      </c>
      <c r="G153" t="s">
        <v>10</v>
      </c>
      <c r="H153" t="str">
        <f t="shared" si="2"/>
        <v>NORMAL ENERGY</v>
      </c>
    </row>
    <row r="154" spans="1:8" x14ac:dyDescent="0.3">
      <c r="A154" t="s">
        <v>171</v>
      </c>
      <c r="B154">
        <v>3</v>
      </c>
      <c r="C154">
        <v>74748</v>
      </c>
      <c r="D154">
        <v>169</v>
      </c>
      <c r="E154">
        <v>200</v>
      </c>
      <c r="F154">
        <v>13</v>
      </c>
      <c r="G154" t="s">
        <v>15</v>
      </c>
      <c r="H154" t="str">
        <f t="shared" si="2"/>
        <v>NORMAL ENERGY</v>
      </c>
    </row>
    <row r="155" spans="1:8" x14ac:dyDescent="0.3">
      <c r="A155" t="s">
        <v>172</v>
      </c>
      <c r="B155">
        <v>3</v>
      </c>
      <c r="C155">
        <v>25801</v>
      </c>
      <c r="D155">
        <v>351</v>
      </c>
      <c r="E155">
        <v>156</v>
      </c>
      <c r="F155">
        <v>11</v>
      </c>
      <c r="G155" t="s">
        <v>13</v>
      </c>
      <c r="H155" t="str">
        <f t="shared" si="2"/>
        <v>NORMAL ENERGY</v>
      </c>
    </row>
    <row r="156" spans="1:8" x14ac:dyDescent="0.3">
      <c r="A156" t="s">
        <v>173</v>
      </c>
      <c r="B156">
        <v>1</v>
      </c>
      <c r="C156">
        <v>39190</v>
      </c>
      <c r="D156">
        <v>374</v>
      </c>
      <c r="E156">
        <v>67</v>
      </c>
      <c r="F156">
        <v>10</v>
      </c>
      <c r="G156" t="s">
        <v>51</v>
      </c>
      <c r="H156" t="str">
        <f t="shared" si="2"/>
        <v>NORMAL ENERGY</v>
      </c>
    </row>
    <row r="157" spans="1:8" x14ac:dyDescent="0.3">
      <c r="A157" t="s">
        <v>174</v>
      </c>
      <c r="B157">
        <v>3</v>
      </c>
      <c r="C157">
        <v>69689</v>
      </c>
      <c r="D157">
        <v>463</v>
      </c>
      <c r="E157">
        <v>87</v>
      </c>
      <c r="F157">
        <v>7</v>
      </c>
      <c r="G157" t="s">
        <v>17</v>
      </c>
      <c r="H157" t="str">
        <f t="shared" si="2"/>
        <v>NORMAL ENERGY</v>
      </c>
    </row>
    <row r="158" spans="1:8" x14ac:dyDescent="0.3">
      <c r="A158" t="s">
        <v>175</v>
      </c>
      <c r="B158">
        <v>5</v>
      </c>
      <c r="C158">
        <v>70993</v>
      </c>
      <c r="D158">
        <v>281</v>
      </c>
      <c r="E158">
        <v>164</v>
      </c>
      <c r="F158">
        <v>4</v>
      </c>
      <c r="G158" t="s">
        <v>8</v>
      </c>
      <c r="H158" t="str">
        <f t="shared" si="2"/>
        <v>NORMAL ENERGY</v>
      </c>
    </row>
    <row r="159" spans="1:8" x14ac:dyDescent="0.3">
      <c r="A159" t="s">
        <v>176</v>
      </c>
      <c r="B159">
        <v>7</v>
      </c>
      <c r="C159">
        <v>49592</v>
      </c>
      <c r="D159">
        <v>266</v>
      </c>
      <c r="E159">
        <v>64</v>
      </c>
      <c r="F159">
        <v>14</v>
      </c>
      <c r="G159" t="s">
        <v>56</v>
      </c>
      <c r="H159" t="str">
        <f t="shared" si="2"/>
        <v>NORMAL ENERGY</v>
      </c>
    </row>
    <row r="160" spans="1:8" x14ac:dyDescent="0.3">
      <c r="A160" t="s">
        <v>177</v>
      </c>
      <c r="B160">
        <v>6</v>
      </c>
      <c r="C160">
        <v>30647</v>
      </c>
      <c r="D160">
        <v>190</v>
      </c>
      <c r="E160">
        <v>168</v>
      </c>
      <c r="F160">
        <v>9</v>
      </c>
      <c r="G160" t="s">
        <v>22</v>
      </c>
      <c r="H160" t="str">
        <f t="shared" si="2"/>
        <v>NORMAL ENERGY</v>
      </c>
    </row>
    <row r="161" spans="1:8" x14ac:dyDescent="0.3">
      <c r="A161" t="s">
        <v>178</v>
      </c>
      <c r="B161">
        <v>3</v>
      </c>
      <c r="C161">
        <v>28716</v>
      </c>
      <c r="D161">
        <v>301</v>
      </c>
      <c r="E161">
        <v>77</v>
      </c>
      <c r="F161">
        <v>10</v>
      </c>
      <c r="G161" t="s">
        <v>8</v>
      </c>
      <c r="H161" t="str">
        <f t="shared" si="2"/>
        <v>NORMAL ENERGY</v>
      </c>
    </row>
    <row r="162" spans="1:8" x14ac:dyDescent="0.3">
      <c r="A162" t="s">
        <v>179</v>
      </c>
      <c r="B162">
        <v>1</v>
      </c>
      <c r="C162">
        <v>90316</v>
      </c>
      <c r="D162">
        <v>445</v>
      </c>
      <c r="E162">
        <v>88</v>
      </c>
      <c r="F162">
        <v>7</v>
      </c>
      <c r="G162" t="s">
        <v>31</v>
      </c>
      <c r="H162" t="str">
        <f t="shared" si="2"/>
        <v>NORMAL ENERGY</v>
      </c>
    </row>
    <row r="163" spans="1:8" x14ac:dyDescent="0.3">
      <c r="A163" t="s">
        <v>180</v>
      </c>
      <c r="B163">
        <v>5</v>
      </c>
      <c r="C163">
        <v>22368</v>
      </c>
      <c r="D163">
        <v>118</v>
      </c>
      <c r="E163">
        <v>66</v>
      </c>
      <c r="F163">
        <v>12</v>
      </c>
      <c r="G163" t="s">
        <v>56</v>
      </c>
      <c r="H163" t="str">
        <f t="shared" si="2"/>
        <v>NORMAL ENERGY</v>
      </c>
    </row>
    <row r="164" spans="1:8" x14ac:dyDescent="0.3">
      <c r="A164" t="s">
        <v>181</v>
      </c>
      <c r="B164">
        <v>2</v>
      </c>
      <c r="C164">
        <v>97575</v>
      </c>
      <c r="D164">
        <v>138</v>
      </c>
      <c r="E164">
        <v>135</v>
      </c>
      <c r="F164">
        <v>8</v>
      </c>
      <c r="G164" t="s">
        <v>51</v>
      </c>
      <c r="H164" t="str">
        <f t="shared" si="2"/>
        <v>NORMAL ENERGY</v>
      </c>
    </row>
    <row r="165" spans="1:8" x14ac:dyDescent="0.3">
      <c r="A165" t="s">
        <v>182</v>
      </c>
      <c r="B165">
        <v>7</v>
      </c>
      <c r="C165">
        <v>26655</v>
      </c>
      <c r="D165">
        <v>225</v>
      </c>
      <c r="E165">
        <v>175</v>
      </c>
      <c r="F165">
        <v>2</v>
      </c>
      <c r="G165" t="s">
        <v>25</v>
      </c>
      <c r="H165" t="str">
        <f t="shared" si="2"/>
        <v>NORMAL ENERGY</v>
      </c>
    </row>
    <row r="166" spans="1:8" x14ac:dyDescent="0.3">
      <c r="A166" t="s">
        <v>183</v>
      </c>
      <c r="B166">
        <v>7</v>
      </c>
      <c r="C166">
        <v>90031</v>
      </c>
      <c r="D166">
        <v>272</v>
      </c>
      <c r="E166">
        <v>93</v>
      </c>
      <c r="F166">
        <v>6</v>
      </c>
      <c r="G166" t="s">
        <v>51</v>
      </c>
      <c r="H166" t="str">
        <f t="shared" si="2"/>
        <v>NORMAL ENERGY</v>
      </c>
    </row>
    <row r="167" spans="1:8" x14ac:dyDescent="0.3">
      <c r="A167" t="s">
        <v>184</v>
      </c>
      <c r="B167">
        <v>6</v>
      </c>
      <c r="C167">
        <v>96429</v>
      </c>
      <c r="D167">
        <v>240</v>
      </c>
      <c r="E167">
        <v>74</v>
      </c>
      <c r="F167">
        <v>6</v>
      </c>
      <c r="G167" t="s">
        <v>22</v>
      </c>
      <c r="H167" t="str">
        <f t="shared" si="2"/>
        <v>NORMAL ENERGY</v>
      </c>
    </row>
    <row r="168" spans="1:8" x14ac:dyDescent="0.3">
      <c r="A168" t="s">
        <v>185</v>
      </c>
      <c r="B168">
        <v>7</v>
      </c>
      <c r="C168">
        <v>75766</v>
      </c>
      <c r="D168">
        <v>341</v>
      </c>
      <c r="E168">
        <v>194</v>
      </c>
      <c r="F168">
        <v>11</v>
      </c>
      <c r="G168" t="s">
        <v>17</v>
      </c>
      <c r="H168" t="str">
        <f t="shared" si="2"/>
        <v>NORMAL ENERGY</v>
      </c>
    </row>
    <row r="169" spans="1:8" x14ac:dyDescent="0.3">
      <c r="A169" t="s">
        <v>186</v>
      </c>
      <c r="B169">
        <v>3</v>
      </c>
      <c r="C169">
        <v>33403</v>
      </c>
      <c r="D169">
        <v>319</v>
      </c>
      <c r="E169">
        <v>62</v>
      </c>
      <c r="F169">
        <v>5</v>
      </c>
      <c r="G169" t="s">
        <v>51</v>
      </c>
      <c r="H169" t="str">
        <f t="shared" si="2"/>
        <v>NORMAL ENERGY</v>
      </c>
    </row>
    <row r="170" spans="1:8" x14ac:dyDescent="0.3">
      <c r="A170" t="s">
        <v>187</v>
      </c>
      <c r="B170">
        <v>1</v>
      </c>
      <c r="C170">
        <v>52097</v>
      </c>
      <c r="D170">
        <v>225</v>
      </c>
      <c r="E170">
        <v>74</v>
      </c>
      <c r="F170">
        <v>7</v>
      </c>
      <c r="G170" t="s">
        <v>27</v>
      </c>
      <c r="H170" t="str">
        <f t="shared" si="2"/>
        <v>NORMAL ENERGY</v>
      </c>
    </row>
    <row r="171" spans="1:8" x14ac:dyDescent="0.3">
      <c r="A171" t="s">
        <v>188</v>
      </c>
      <c r="B171">
        <v>7</v>
      </c>
      <c r="C171">
        <v>98657</v>
      </c>
      <c r="D171">
        <v>157</v>
      </c>
      <c r="E171">
        <v>117</v>
      </c>
      <c r="F171">
        <v>8</v>
      </c>
      <c r="G171" t="s">
        <v>25</v>
      </c>
      <c r="H171" t="str">
        <f t="shared" si="2"/>
        <v>NORMAL ENERGY</v>
      </c>
    </row>
    <row r="172" spans="1:8" x14ac:dyDescent="0.3">
      <c r="A172" t="s">
        <v>189</v>
      </c>
      <c r="B172">
        <v>7</v>
      </c>
      <c r="C172">
        <v>30966</v>
      </c>
      <c r="D172">
        <v>247</v>
      </c>
      <c r="E172">
        <v>187</v>
      </c>
      <c r="F172">
        <v>10</v>
      </c>
      <c r="G172" t="s">
        <v>8</v>
      </c>
      <c r="H172" t="str">
        <f t="shared" si="2"/>
        <v>NORMAL ENERGY</v>
      </c>
    </row>
    <row r="173" spans="1:8" x14ac:dyDescent="0.3">
      <c r="A173" t="s">
        <v>190</v>
      </c>
      <c r="B173">
        <v>2</v>
      </c>
      <c r="C173">
        <v>72921</v>
      </c>
      <c r="D173">
        <v>416</v>
      </c>
      <c r="E173">
        <v>116</v>
      </c>
      <c r="F173">
        <v>2</v>
      </c>
      <c r="G173" t="s">
        <v>13</v>
      </c>
      <c r="H173" t="str">
        <f t="shared" si="2"/>
        <v>NORMAL ENERGY</v>
      </c>
    </row>
    <row r="174" spans="1:8" x14ac:dyDescent="0.3">
      <c r="A174" t="s">
        <v>191</v>
      </c>
      <c r="B174">
        <v>2</v>
      </c>
      <c r="C174">
        <v>69726</v>
      </c>
      <c r="D174">
        <v>482</v>
      </c>
      <c r="E174">
        <v>158</v>
      </c>
      <c r="F174">
        <v>7</v>
      </c>
      <c r="G174" t="s">
        <v>10</v>
      </c>
      <c r="H174" t="str">
        <f t="shared" si="2"/>
        <v>HIGH ENERGY</v>
      </c>
    </row>
    <row r="175" spans="1:8" x14ac:dyDescent="0.3">
      <c r="A175" t="s">
        <v>192</v>
      </c>
      <c r="B175">
        <v>4</v>
      </c>
      <c r="C175">
        <v>70300</v>
      </c>
      <c r="D175">
        <v>460</v>
      </c>
      <c r="E175">
        <v>195</v>
      </c>
      <c r="F175">
        <v>8</v>
      </c>
      <c r="G175" t="s">
        <v>27</v>
      </c>
      <c r="H175" t="str">
        <f t="shared" si="2"/>
        <v>NORMAL ENERGY</v>
      </c>
    </row>
    <row r="176" spans="1:8" x14ac:dyDescent="0.3">
      <c r="A176" t="s">
        <v>193</v>
      </c>
      <c r="B176">
        <v>5</v>
      </c>
      <c r="C176">
        <v>42677</v>
      </c>
      <c r="D176">
        <v>100</v>
      </c>
      <c r="E176">
        <v>160</v>
      </c>
      <c r="F176">
        <v>4</v>
      </c>
      <c r="G176" t="s">
        <v>25</v>
      </c>
      <c r="H176" t="str">
        <f t="shared" si="2"/>
        <v>NORMAL ENERGY</v>
      </c>
    </row>
    <row r="177" spans="1:8" x14ac:dyDescent="0.3">
      <c r="A177" t="s">
        <v>194</v>
      </c>
      <c r="B177">
        <v>3</v>
      </c>
      <c r="C177">
        <v>75609</v>
      </c>
      <c r="D177">
        <v>486</v>
      </c>
      <c r="E177">
        <v>160</v>
      </c>
      <c r="F177">
        <v>9</v>
      </c>
      <c r="G177" t="s">
        <v>13</v>
      </c>
      <c r="H177" t="str">
        <f t="shared" si="2"/>
        <v>HIGH ENERGY</v>
      </c>
    </row>
    <row r="178" spans="1:8" x14ac:dyDescent="0.3">
      <c r="A178" t="s">
        <v>195</v>
      </c>
      <c r="B178">
        <v>7</v>
      </c>
      <c r="C178">
        <v>76661</v>
      </c>
      <c r="D178">
        <v>447</v>
      </c>
      <c r="E178">
        <v>83</v>
      </c>
      <c r="F178">
        <v>6</v>
      </c>
      <c r="G178" t="s">
        <v>13</v>
      </c>
      <c r="H178" t="str">
        <f t="shared" si="2"/>
        <v>NORMAL ENERGY</v>
      </c>
    </row>
    <row r="179" spans="1:8" x14ac:dyDescent="0.3">
      <c r="A179" t="s">
        <v>196</v>
      </c>
      <c r="B179">
        <v>7</v>
      </c>
      <c r="C179">
        <v>51024</v>
      </c>
      <c r="D179">
        <v>289</v>
      </c>
      <c r="E179">
        <v>160</v>
      </c>
      <c r="F179">
        <v>10</v>
      </c>
      <c r="G179" t="s">
        <v>56</v>
      </c>
      <c r="H179" t="str">
        <f t="shared" si="2"/>
        <v>NORMAL ENERGY</v>
      </c>
    </row>
    <row r="180" spans="1:8" x14ac:dyDescent="0.3">
      <c r="A180" t="s">
        <v>197</v>
      </c>
      <c r="B180">
        <v>1</v>
      </c>
      <c r="C180">
        <v>90313</v>
      </c>
      <c r="D180">
        <v>290</v>
      </c>
      <c r="E180">
        <v>57</v>
      </c>
      <c r="F180">
        <v>6</v>
      </c>
      <c r="G180" t="s">
        <v>25</v>
      </c>
      <c r="H180" t="str">
        <f t="shared" si="2"/>
        <v>NORMAL ENERGY</v>
      </c>
    </row>
    <row r="181" spans="1:8" x14ac:dyDescent="0.3">
      <c r="A181" t="s">
        <v>198</v>
      </c>
      <c r="B181">
        <v>4</v>
      </c>
      <c r="C181">
        <v>73006</v>
      </c>
      <c r="D181">
        <v>468</v>
      </c>
      <c r="E181">
        <v>162</v>
      </c>
      <c r="F181">
        <v>10</v>
      </c>
      <c r="G181" t="s">
        <v>17</v>
      </c>
      <c r="H181" t="str">
        <f t="shared" si="2"/>
        <v>NORMAL ENERGY</v>
      </c>
    </row>
    <row r="182" spans="1:8" x14ac:dyDescent="0.3">
      <c r="A182" t="s">
        <v>199</v>
      </c>
      <c r="B182">
        <v>5</v>
      </c>
      <c r="C182">
        <v>35338</v>
      </c>
      <c r="D182">
        <v>411</v>
      </c>
      <c r="E182">
        <v>132</v>
      </c>
      <c r="F182">
        <v>11</v>
      </c>
      <c r="G182" t="s">
        <v>31</v>
      </c>
      <c r="H182" t="str">
        <f t="shared" si="2"/>
        <v>NORMAL ENERGY</v>
      </c>
    </row>
    <row r="183" spans="1:8" x14ac:dyDescent="0.3">
      <c r="A183" t="s">
        <v>200</v>
      </c>
      <c r="B183">
        <v>4</v>
      </c>
      <c r="C183">
        <v>88027</v>
      </c>
      <c r="D183">
        <v>216</v>
      </c>
      <c r="E183">
        <v>91</v>
      </c>
      <c r="F183">
        <v>5</v>
      </c>
      <c r="G183" t="s">
        <v>22</v>
      </c>
      <c r="H183" t="str">
        <f t="shared" si="2"/>
        <v>NORMAL ENERGY</v>
      </c>
    </row>
    <row r="184" spans="1:8" x14ac:dyDescent="0.3">
      <c r="A184" t="s">
        <v>201</v>
      </c>
      <c r="B184">
        <v>6</v>
      </c>
      <c r="C184">
        <v>39508</v>
      </c>
      <c r="D184">
        <v>233</v>
      </c>
      <c r="E184">
        <v>150</v>
      </c>
      <c r="F184">
        <v>10</v>
      </c>
      <c r="G184" t="s">
        <v>22</v>
      </c>
      <c r="H184" t="str">
        <f t="shared" si="2"/>
        <v>NORMAL ENERGY</v>
      </c>
    </row>
    <row r="185" spans="1:8" x14ac:dyDescent="0.3">
      <c r="A185" t="s">
        <v>202</v>
      </c>
      <c r="B185">
        <v>5</v>
      </c>
      <c r="C185">
        <v>23051</v>
      </c>
      <c r="D185">
        <v>157</v>
      </c>
      <c r="E185">
        <v>55</v>
      </c>
      <c r="F185">
        <v>6</v>
      </c>
      <c r="G185" t="s">
        <v>8</v>
      </c>
      <c r="H185" t="str">
        <f t="shared" si="2"/>
        <v>NORMAL ENERGY</v>
      </c>
    </row>
    <row r="186" spans="1:8" x14ac:dyDescent="0.3">
      <c r="A186" t="s">
        <v>203</v>
      </c>
      <c r="B186">
        <v>7</v>
      </c>
      <c r="C186">
        <v>68747</v>
      </c>
      <c r="D186">
        <v>143</v>
      </c>
      <c r="E186">
        <v>75</v>
      </c>
      <c r="F186">
        <v>11</v>
      </c>
      <c r="G186" t="s">
        <v>8</v>
      </c>
      <c r="H186" t="str">
        <f t="shared" si="2"/>
        <v>NORMAL ENERGY</v>
      </c>
    </row>
    <row r="187" spans="1:8" x14ac:dyDescent="0.3">
      <c r="A187" t="s">
        <v>204</v>
      </c>
      <c r="B187">
        <v>7</v>
      </c>
      <c r="C187">
        <v>74021</v>
      </c>
      <c r="D187">
        <v>272</v>
      </c>
      <c r="E187">
        <v>113</v>
      </c>
      <c r="F187">
        <v>10</v>
      </c>
      <c r="G187" t="s">
        <v>22</v>
      </c>
      <c r="H187" t="str">
        <f t="shared" si="2"/>
        <v>NORMAL ENERGY</v>
      </c>
    </row>
    <row r="188" spans="1:8" x14ac:dyDescent="0.3">
      <c r="A188" t="s">
        <v>205</v>
      </c>
      <c r="B188">
        <v>5</v>
      </c>
      <c r="C188">
        <v>86412</v>
      </c>
      <c r="D188">
        <v>259</v>
      </c>
      <c r="E188">
        <v>108</v>
      </c>
      <c r="F188">
        <v>4</v>
      </c>
      <c r="G188" t="s">
        <v>51</v>
      </c>
      <c r="H188" t="str">
        <f t="shared" si="2"/>
        <v>NORMAL ENERGY</v>
      </c>
    </row>
    <row r="189" spans="1:8" x14ac:dyDescent="0.3">
      <c r="A189" t="s">
        <v>206</v>
      </c>
      <c r="B189">
        <v>7</v>
      </c>
      <c r="C189">
        <v>78335</v>
      </c>
      <c r="D189">
        <v>272</v>
      </c>
      <c r="E189">
        <v>158</v>
      </c>
      <c r="F189">
        <v>5</v>
      </c>
      <c r="G189" t="s">
        <v>17</v>
      </c>
      <c r="H189" t="str">
        <f t="shared" si="2"/>
        <v>NORMAL ENERGY</v>
      </c>
    </row>
    <row r="190" spans="1:8" x14ac:dyDescent="0.3">
      <c r="A190" t="s">
        <v>207</v>
      </c>
      <c r="B190">
        <v>3</v>
      </c>
      <c r="C190">
        <v>76179</v>
      </c>
      <c r="D190">
        <v>416</v>
      </c>
      <c r="E190">
        <v>170</v>
      </c>
      <c r="F190">
        <v>10</v>
      </c>
      <c r="G190" t="s">
        <v>51</v>
      </c>
      <c r="H190" t="str">
        <f t="shared" si="2"/>
        <v>NORMAL ENERGY</v>
      </c>
    </row>
    <row r="191" spans="1:8" x14ac:dyDescent="0.3">
      <c r="A191" t="s">
        <v>208</v>
      </c>
      <c r="B191">
        <v>5</v>
      </c>
      <c r="C191">
        <v>52093</v>
      </c>
      <c r="D191">
        <v>402</v>
      </c>
      <c r="E191">
        <v>82</v>
      </c>
      <c r="F191">
        <v>11</v>
      </c>
      <c r="G191" t="s">
        <v>51</v>
      </c>
      <c r="H191" t="str">
        <f t="shared" si="2"/>
        <v>NORMAL ENERGY</v>
      </c>
    </row>
    <row r="192" spans="1:8" x14ac:dyDescent="0.3">
      <c r="A192" t="s">
        <v>209</v>
      </c>
      <c r="B192">
        <v>4</v>
      </c>
      <c r="C192">
        <v>89678</v>
      </c>
      <c r="D192">
        <v>248</v>
      </c>
      <c r="E192">
        <v>199</v>
      </c>
      <c r="F192">
        <v>12</v>
      </c>
      <c r="G192" t="s">
        <v>10</v>
      </c>
      <c r="H192" t="str">
        <f t="shared" si="2"/>
        <v>NORMAL ENERGY</v>
      </c>
    </row>
    <row r="193" spans="1:8" x14ac:dyDescent="0.3">
      <c r="A193" t="s">
        <v>210</v>
      </c>
      <c r="B193">
        <v>5</v>
      </c>
      <c r="C193">
        <v>59734</v>
      </c>
      <c r="D193">
        <v>179</v>
      </c>
      <c r="E193">
        <v>70</v>
      </c>
      <c r="F193">
        <v>7</v>
      </c>
      <c r="G193" t="s">
        <v>45</v>
      </c>
      <c r="H193" t="str">
        <f t="shared" si="2"/>
        <v>NORMAL ENERGY</v>
      </c>
    </row>
    <row r="194" spans="1:8" x14ac:dyDescent="0.3">
      <c r="A194" t="s">
        <v>211</v>
      </c>
      <c r="B194">
        <v>7</v>
      </c>
      <c r="C194">
        <v>92615</v>
      </c>
      <c r="D194">
        <v>473</v>
      </c>
      <c r="E194">
        <v>119</v>
      </c>
      <c r="F194">
        <v>3</v>
      </c>
      <c r="G194" t="s">
        <v>31</v>
      </c>
      <c r="H194" t="str">
        <f t="shared" ref="H194:H251" si="3">IF(D194&gt;470.2,"HIGH ENERGY","NORMAL ENERGY")</f>
        <v>HIGH ENERGY</v>
      </c>
    </row>
    <row r="195" spans="1:8" x14ac:dyDescent="0.3">
      <c r="A195" t="s">
        <v>212</v>
      </c>
      <c r="B195">
        <v>3</v>
      </c>
      <c r="C195">
        <v>93523</v>
      </c>
      <c r="D195">
        <v>312</v>
      </c>
      <c r="E195">
        <v>161</v>
      </c>
      <c r="F195">
        <v>8</v>
      </c>
      <c r="G195" t="s">
        <v>10</v>
      </c>
      <c r="H195" t="str">
        <f t="shared" si="3"/>
        <v>NORMAL ENERGY</v>
      </c>
    </row>
    <row r="196" spans="1:8" x14ac:dyDescent="0.3">
      <c r="A196" t="s">
        <v>213</v>
      </c>
      <c r="B196">
        <v>3</v>
      </c>
      <c r="C196">
        <v>37019</v>
      </c>
      <c r="D196">
        <v>302</v>
      </c>
      <c r="E196">
        <v>53</v>
      </c>
      <c r="F196">
        <v>3</v>
      </c>
      <c r="G196" t="s">
        <v>56</v>
      </c>
      <c r="H196" t="str">
        <f t="shared" si="3"/>
        <v>NORMAL ENERGY</v>
      </c>
    </row>
    <row r="197" spans="1:8" x14ac:dyDescent="0.3">
      <c r="A197" t="s">
        <v>214</v>
      </c>
      <c r="B197">
        <v>6</v>
      </c>
      <c r="C197">
        <v>93847</v>
      </c>
      <c r="D197">
        <v>351</v>
      </c>
      <c r="E197">
        <v>143</v>
      </c>
      <c r="F197">
        <v>12</v>
      </c>
      <c r="G197" t="s">
        <v>45</v>
      </c>
      <c r="H197" t="str">
        <f t="shared" si="3"/>
        <v>NORMAL ENERGY</v>
      </c>
    </row>
    <row r="198" spans="1:8" x14ac:dyDescent="0.3">
      <c r="A198" t="s">
        <v>215</v>
      </c>
      <c r="B198">
        <v>4</v>
      </c>
      <c r="C198">
        <v>99634</v>
      </c>
      <c r="D198">
        <v>328</v>
      </c>
      <c r="E198">
        <v>124</v>
      </c>
      <c r="F198">
        <v>3</v>
      </c>
      <c r="G198" t="s">
        <v>45</v>
      </c>
      <c r="H198" t="str">
        <f t="shared" si="3"/>
        <v>NORMAL ENERGY</v>
      </c>
    </row>
    <row r="199" spans="1:8" x14ac:dyDescent="0.3">
      <c r="A199" t="s">
        <v>216</v>
      </c>
      <c r="B199">
        <v>2</v>
      </c>
      <c r="C199">
        <v>48251</v>
      </c>
      <c r="D199">
        <v>263</v>
      </c>
      <c r="E199">
        <v>111</v>
      </c>
      <c r="F199">
        <v>12</v>
      </c>
      <c r="G199" t="s">
        <v>25</v>
      </c>
      <c r="H199" t="str">
        <f t="shared" si="3"/>
        <v>NORMAL ENERGY</v>
      </c>
    </row>
    <row r="200" spans="1:8" x14ac:dyDescent="0.3">
      <c r="A200" t="s">
        <v>217</v>
      </c>
      <c r="B200">
        <v>2</v>
      </c>
      <c r="C200">
        <v>45945</v>
      </c>
      <c r="D200">
        <v>326</v>
      </c>
      <c r="E200">
        <v>143</v>
      </c>
      <c r="F200">
        <v>2</v>
      </c>
      <c r="G200" t="s">
        <v>17</v>
      </c>
      <c r="H200" t="str">
        <f t="shared" si="3"/>
        <v>NORMAL ENERGY</v>
      </c>
    </row>
    <row r="201" spans="1:8" x14ac:dyDescent="0.3">
      <c r="A201" t="s">
        <v>218</v>
      </c>
      <c r="B201">
        <v>5</v>
      </c>
      <c r="C201">
        <v>52217</v>
      </c>
      <c r="D201">
        <v>246</v>
      </c>
      <c r="E201">
        <v>144</v>
      </c>
      <c r="F201">
        <v>12</v>
      </c>
      <c r="G201" t="s">
        <v>17</v>
      </c>
      <c r="H201" t="str">
        <f t="shared" si="3"/>
        <v>NORMAL ENERGY</v>
      </c>
    </row>
    <row r="202" spans="1:8" x14ac:dyDescent="0.3">
      <c r="A202" t="s">
        <v>219</v>
      </c>
      <c r="B202">
        <v>6</v>
      </c>
      <c r="C202">
        <v>28308</v>
      </c>
      <c r="D202">
        <v>119</v>
      </c>
      <c r="E202">
        <v>104</v>
      </c>
      <c r="F202">
        <v>12</v>
      </c>
      <c r="G202" t="s">
        <v>45</v>
      </c>
      <c r="H202" t="str">
        <f t="shared" si="3"/>
        <v>NORMAL ENERGY</v>
      </c>
    </row>
    <row r="203" spans="1:8" x14ac:dyDescent="0.3">
      <c r="A203" t="s">
        <v>220</v>
      </c>
      <c r="B203">
        <v>1</v>
      </c>
      <c r="C203">
        <v>25949</v>
      </c>
      <c r="D203">
        <v>146</v>
      </c>
      <c r="E203">
        <v>186</v>
      </c>
      <c r="F203">
        <v>13</v>
      </c>
      <c r="G203" t="s">
        <v>51</v>
      </c>
      <c r="H203" t="str">
        <f t="shared" si="3"/>
        <v>NORMAL ENERGY</v>
      </c>
    </row>
    <row r="204" spans="1:8" x14ac:dyDescent="0.3">
      <c r="A204" t="s">
        <v>221</v>
      </c>
      <c r="B204">
        <v>5</v>
      </c>
      <c r="C204">
        <v>71990</v>
      </c>
      <c r="D204">
        <v>332</v>
      </c>
      <c r="E204">
        <v>180</v>
      </c>
      <c r="F204">
        <v>12</v>
      </c>
      <c r="G204" t="s">
        <v>25</v>
      </c>
      <c r="H204" t="str">
        <f t="shared" si="3"/>
        <v>NORMAL ENERGY</v>
      </c>
    </row>
    <row r="205" spans="1:8" x14ac:dyDescent="0.3">
      <c r="A205" t="s">
        <v>222</v>
      </c>
      <c r="B205">
        <v>6</v>
      </c>
      <c r="C205">
        <v>21150</v>
      </c>
      <c r="D205">
        <v>404</v>
      </c>
      <c r="E205">
        <v>80</v>
      </c>
      <c r="F205">
        <v>4</v>
      </c>
      <c r="G205" t="s">
        <v>31</v>
      </c>
      <c r="H205" t="str">
        <f t="shared" si="3"/>
        <v>NORMAL ENERGY</v>
      </c>
    </row>
    <row r="206" spans="1:8" x14ac:dyDescent="0.3">
      <c r="A206" t="s">
        <v>223</v>
      </c>
      <c r="B206">
        <v>4</v>
      </c>
      <c r="C206">
        <v>94740</v>
      </c>
      <c r="D206">
        <v>113</v>
      </c>
      <c r="E206">
        <v>89</v>
      </c>
      <c r="F206">
        <v>7</v>
      </c>
      <c r="G206" t="s">
        <v>45</v>
      </c>
      <c r="H206" t="str">
        <f t="shared" si="3"/>
        <v>NORMAL ENERGY</v>
      </c>
    </row>
    <row r="207" spans="1:8" x14ac:dyDescent="0.3">
      <c r="A207" t="s">
        <v>224</v>
      </c>
      <c r="B207">
        <v>4</v>
      </c>
      <c r="C207">
        <v>86617</v>
      </c>
      <c r="D207">
        <v>242</v>
      </c>
      <c r="E207">
        <v>85</v>
      </c>
      <c r="F207">
        <v>9</v>
      </c>
      <c r="G207" t="s">
        <v>27</v>
      </c>
      <c r="H207" t="str">
        <f t="shared" si="3"/>
        <v>NORMAL ENERGY</v>
      </c>
    </row>
    <row r="208" spans="1:8" x14ac:dyDescent="0.3">
      <c r="A208" t="s">
        <v>225</v>
      </c>
      <c r="B208">
        <v>4</v>
      </c>
      <c r="C208">
        <v>36896</v>
      </c>
      <c r="D208">
        <v>100</v>
      </c>
      <c r="E208">
        <v>55</v>
      </c>
      <c r="F208">
        <v>10</v>
      </c>
      <c r="G208" t="s">
        <v>8</v>
      </c>
      <c r="H208" t="str">
        <f t="shared" si="3"/>
        <v>NORMAL ENERGY</v>
      </c>
    </row>
    <row r="209" spans="1:8" x14ac:dyDescent="0.3">
      <c r="A209" t="s">
        <v>226</v>
      </c>
      <c r="B209">
        <v>4</v>
      </c>
      <c r="C209">
        <v>66175</v>
      </c>
      <c r="D209">
        <v>472</v>
      </c>
      <c r="E209">
        <v>115</v>
      </c>
      <c r="F209">
        <v>8</v>
      </c>
      <c r="G209" t="s">
        <v>8</v>
      </c>
      <c r="H209" t="str">
        <f t="shared" si="3"/>
        <v>HIGH ENERGY</v>
      </c>
    </row>
    <row r="210" spans="1:8" x14ac:dyDescent="0.3">
      <c r="A210" t="s">
        <v>227</v>
      </c>
      <c r="B210">
        <v>4</v>
      </c>
      <c r="C210">
        <v>27805</v>
      </c>
      <c r="D210">
        <v>153</v>
      </c>
      <c r="E210">
        <v>124</v>
      </c>
      <c r="F210">
        <v>5</v>
      </c>
      <c r="G210" t="s">
        <v>10</v>
      </c>
      <c r="H210" t="str">
        <f t="shared" si="3"/>
        <v>NORMAL ENERGY</v>
      </c>
    </row>
    <row r="211" spans="1:8" x14ac:dyDescent="0.3">
      <c r="A211" t="s">
        <v>228</v>
      </c>
      <c r="B211">
        <v>6</v>
      </c>
      <c r="C211">
        <v>25237</v>
      </c>
      <c r="D211">
        <v>473</v>
      </c>
      <c r="E211">
        <v>53</v>
      </c>
      <c r="F211">
        <v>7</v>
      </c>
      <c r="G211" t="s">
        <v>56</v>
      </c>
      <c r="H211" t="str">
        <f t="shared" si="3"/>
        <v>HIGH ENERGY</v>
      </c>
    </row>
    <row r="212" spans="1:8" x14ac:dyDescent="0.3">
      <c r="A212" t="s">
        <v>229</v>
      </c>
      <c r="B212">
        <v>6</v>
      </c>
      <c r="C212">
        <v>40056</v>
      </c>
      <c r="D212">
        <v>358</v>
      </c>
      <c r="E212">
        <v>128</v>
      </c>
      <c r="F212">
        <v>6</v>
      </c>
      <c r="G212" t="s">
        <v>15</v>
      </c>
      <c r="H212" t="str">
        <f t="shared" si="3"/>
        <v>NORMAL ENERGY</v>
      </c>
    </row>
    <row r="213" spans="1:8" x14ac:dyDescent="0.3">
      <c r="A213" t="s">
        <v>230</v>
      </c>
      <c r="B213">
        <v>3</v>
      </c>
      <c r="C213">
        <v>65543</v>
      </c>
      <c r="D213">
        <v>243</v>
      </c>
      <c r="E213">
        <v>183</v>
      </c>
      <c r="F213">
        <v>9</v>
      </c>
      <c r="G213" t="s">
        <v>15</v>
      </c>
      <c r="H213" t="str">
        <f t="shared" si="3"/>
        <v>NORMAL ENERGY</v>
      </c>
    </row>
    <row r="214" spans="1:8" x14ac:dyDescent="0.3">
      <c r="A214" t="s">
        <v>231</v>
      </c>
      <c r="B214">
        <v>2</v>
      </c>
      <c r="C214">
        <v>76556</v>
      </c>
      <c r="D214">
        <v>111</v>
      </c>
      <c r="E214">
        <v>167</v>
      </c>
      <c r="F214">
        <v>2</v>
      </c>
      <c r="G214" t="s">
        <v>8</v>
      </c>
      <c r="H214" t="str">
        <f t="shared" si="3"/>
        <v>NORMAL ENERGY</v>
      </c>
    </row>
    <row r="215" spans="1:8" x14ac:dyDescent="0.3">
      <c r="A215" t="s">
        <v>232</v>
      </c>
      <c r="B215">
        <v>7</v>
      </c>
      <c r="C215">
        <v>23343</v>
      </c>
      <c r="D215">
        <v>429</v>
      </c>
      <c r="E215">
        <v>162</v>
      </c>
      <c r="F215">
        <v>2</v>
      </c>
      <c r="G215" t="s">
        <v>13</v>
      </c>
      <c r="H215" t="str">
        <f t="shared" si="3"/>
        <v>NORMAL ENERGY</v>
      </c>
    </row>
    <row r="216" spans="1:8" x14ac:dyDescent="0.3">
      <c r="A216" t="s">
        <v>233</v>
      </c>
      <c r="B216">
        <v>4</v>
      </c>
      <c r="C216">
        <v>33500</v>
      </c>
      <c r="D216">
        <v>323</v>
      </c>
      <c r="E216">
        <v>143</v>
      </c>
      <c r="F216">
        <v>14</v>
      </c>
      <c r="G216" t="s">
        <v>10</v>
      </c>
      <c r="H216" t="str">
        <f t="shared" si="3"/>
        <v>NORMAL ENERGY</v>
      </c>
    </row>
    <row r="217" spans="1:8" x14ac:dyDescent="0.3">
      <c r="A217" t="s">
        <v>234</v>
      </c>
      <c r="B217">
        <v>1</v>
      </c>
      <c r="C217">
        <v>73222</v>
      </c>
      <c r="D217">
        <v>371</v>
      </c>
      <c r="E217">
        <v>111</v>
      </c>
      <c r="F217">
        <v>12</v>
      </c>
      <c r="G217" t="s">
        <v>15</v>
      </c>
      <c r="H217" t="str">
        <f t="shared" si="3"/>
        <v>NORMAL ENERGY</v>
      </c>
    </row>
    <row r="218" spans="1:8" x14ac:dyDescent="0.3">
      <c r="A218" t="s">
        <v>235</v>
      </c>
      <c r="B218">
        <v>7</v>
      </c>
      <c r="C218">
        <v>49375</v>
      </c>
      <c r="D218">
        <v>457</v>
      </c>
      <c r="E218">
        <v>128</v>
      </c>
      <c r="F218">
        <v>7</v>
      </c>
      <c r="G218" t="s">
        <v>8</v>
      </c>
      <c r="H218" t="str">
        <f t="shared" si="3"/>
        <v>NORMAL ENERGY</v>
      </c>
    </row>
    <row r="219" spans="1:8" x14ac:dyDescent="0.3">
      <c r="A219" t="s">
        <v>236</v>
      </c>
      <c r="B219">
        <v>6</v>
      </c>
      <c r="C219">
        <v>29662</v>
      </c>
      <c r="D219">
        <v>255</v>
      </c>
      <c r="E219">
        <v>185</v>
      </c>
      <c r="F219">
        <v>11</v>
      </c>
      <c r="G219" t="s">
        <v>56</v>
      </c>
      <c r="H219" t="str">
        <f t="shared" si="3"/>
        <v>NORMAL ENERGY</v>
      </c>
    </row>
    <row r="220" spans="1:8" x14ac:dyDescent="0.3">
      <c r="A220" t="s">
        <v>237</v>
      </c>
      <c r="B220">
        <v>1</v>
      </c>
      <c r="C220">
        <v>36964</v>
      </c>
      <c r="D220">
        <v>472</v>
      </c>
      <c r="E220">
        <v>75</v>
      </c>
      <c r="F220">
        <v>13</v>
      </c>
      <c r="G220" t="s">
        <v>15</v>
      </c>
      <c r="H220" t="str">
        <f t="shared" si="3"/>
        <v>HIGH ENERGY</v>
      </c>
    </row>
    <row r="221" spans="1:8" x14ac:dyDescent="0.3">
      <c r="A221" t="s">
        <v>238</v>
      </c>
      <c r="B221">
        <v>1</v>
      </c>
      <c r="C221">
        <v>79638</v>
      </c>
      <c r="D221">
        <v>107</v>
      </c>
      <c r="E221">
        <v>93</v>
      </c>
      <c r="F221">
        <v>3</v>
      </c>
      <c r="G221" t="s">
        <v>51</v>
      </c>
      <c r="H221" t="str">
        <f t="shared" si="3"/>
        <v>NORMAL ENERGY</v>
      </c>
    </row>
    <row r="222" spans="1:8" x14ac:dyDescent="0.3">
      <c r="A222" t="s">
        <v>239</v>
      </c>
      <c r="B222">
        <v>1</v>
      </c>
      <c r="C222">
        <v>93666</v>
      </c>
      <c r="D222">
        <v>221</v>
      </c>
      <c r="E222">
        <v>182</v>
      </c>
      <c r="F222">
        <v>6</v>
      </c>
      <c r="G222" t="s">
        <v>51</v>
      </c>
      <c r="H222" t="str">
        <f t="shared" si="3"/>
        <v>NORMAL ENERGY</v>
      </c>
    </row>
    <row r="223" spans="1:8" x14ac:dyDescent="0.3">
      <c r="A223" t="s">
        <v>240</v>
      </c>
      <c r="B223">
        <v>3</v>
      </c>
      <c r="C223">
        <v>87215</v>
      </c>
      <c r="D223">
        <v>447</v>
      </c>
      <c r="E223">
        <v>119</v>
      </c>
      <c r="F223">
        <v>2</v>
      </c>
      <c r="G223" t="s">
        <v>17</v>
      </c>
      <c r="H223" t="str">
        <f t="shared" si="3"/>
        <v>NORMAL ENERGY</v>
      </c>
    </row>
    <row r="224" spans="1:8" x14ac:dyDescent="0.3">
      <c r="A224" t="s">
        <v>241</v>
      </c>
      <c r="B224">
        <v>6</v>
      </c>
      <c r="C224">
        <v>89042</v>
      </c>
      <c r="D224">
        <v>263</v>
      </c>
      <c r="E224">
        <v>167</v>
      </c>
      <c r="F224">
        <v>8</v>
      </c>
      <c r="G224" t="s">
        <v>17</v>
      </c>
      <c r="H224" t="str">
        <f t="shared" si="3"/>
        <v>NORMAL ENERGY</v>
      </c>
    </row>
    <row r="225" spans="1:8" x14ac:dyDescent="0.3">
      <c r="A225" t="s">
        <v>242</v>
      </c>
      <c r="B225">
        <v>1</v>
      </c>
      <c r="C225">
        <v>33284</v>
      </c>
      <c r="D225">
        <v>189</v>
      </c>
      <c r="E225">
        <v>117</v>
      </c>
      <c r="F225">
        <v>2</v>
      </c>
      <c r="G225" t="s">
        <v>31</v>
      </c>
      <c r="H225" t="str">
        <f t="shared" si="3"/>
        <v>NORMAL ENERGY</v>
      </c>
    </row>
    <row r="226" spans="1:8" x14ac:dyDescent="0.3">
      <c r="A226" t="s">
        <v>243</v>
      </c>
      <c r="B226">
        <v>4</v>
      </c>
      <c r="C226">
        <v>92789</v>
      </c>
      <c r="D226">
        <v>235</v>
      </c>
      <c r="E226">
        <v>68</v>
      </c>
      <c r="F226">
        <v>5</v>
      </c>
      <c r="G226" t="s">
        <v>45</v>
      </c>
      <c r="H226" t="str">
        <f t="shared" si="3"/>
        <v>NORMAL ENERGY</v>
      </c>
    </row>
    <row r="227" spans="1:8" x14ac:dyDescent="0.3">
      <c r="A227" t="s">
        <v>244</v>
      </c>
      <c r="B227">
        <v>5</v>
      </c>
      <c r="C227">
        <v>81389</v>
      </c>
      <c r="D227">
        <v>285</v>
      </c>
      <c r="E227">
        <v>69</v>
      </c>
      <c r="F227">
        <v>10</v>
      </c>
      <c r="G227" t="s">
        <v>27</v>
      </c>
      <c r="H227" t="str">
        <f t="shared" si="3"/>
        <v>NORMAL ENERGY</v>
      </c>
    </row>
    <row r="228" spans="1:8" x14ac:dyDescent="0.3">
      <c r="A228" t="s">
        <v>245</v>
      </c>
      <c r="B228">
        <v>1</v>
      </c>
      <c r="C228">
        <v>29435</v>
      </c>
      <c r="D228">
        <v>415</v>
      </c>
      <c r="E228">
        <v>162</v>
      </c>
      <c r="F228">
        <v>2</v>
      </c>
      <c r="G228" t="s">
        <v>17</v>
      </c>
      <c r="H228" t="str">
        <f t="shared" si="3"/>
        <v>NORMAL ENERGY</v>
      </c>
    </row>
    <row r="229" spans="1:8" x14ac:dyDescent="0.3">
      <c r="A229" t="s">
        <v>246</v>
      </c>
      <c r="B229">
        <v>3</v>
      </c>
      <c r="C229">
        <v>74340</v>
      </c>
      <c r="D229">
        <v>277</v>
      </c>
      <c r="E229">
        <v>189</v>
      </c>
      <c r="F229">
        <v>5</v>
      </c>
      <c r="G229" t="s">
        <v>15</v>
      </c>
      <c r="H229" t="str">
        <f t="shared" si="3"/>
        <v>NORMAL ENERGY</v>
      </c>
    </row>
    <row r="230" spans="1:8" x14ac:dyDescent="0.3">
      <c r="A230" t="s">
        <v>247</v>
      </c>
      <c r="B230">
        <v>7</v>
      </c>
      <c r="C230">
        <v>64078</v>
      </c>
      <c r="D230">
        <v>127</v>
      </c>
      <c r="E230">
        <v>96</v>
      </c>
      <c r="F230">
        <v>7</v>
      </c>
      <c r="G230" t="s">
        <v>25</v>
      </c>
      <c r="H230" t="str">
        <f t="shared" si="3"/>
        <v>NORMAL ENERGY</v>
      </c>
    </row>
    <row r="231" spans="1:8" x14ac:dyDescent="0.3">
      <c r="A231" t="s">
        <v>248</v>
      </c>
      <c r="B231">
        <v>6</v>
      </c>
      <c r="C231">
        <v>98832</v>
      </c>
      <c r="D231">
        <v>319</v>
      </c>
      <c r="E231">
        <v>50</v>
      </c>
      <c r="F231">
        <v>7</v>
      </c>
      <c r="G231" t="s">
        <v>8</v>
      </c>
      <c r="H231" t="str">
        <f t="shared" si="3"/>
        <v>NORMAL ENERGY</v>
      </c>
    </row>
    <row r="232" spans="1:8" x14ac:dyDescent="0.3">
      <c r="A232" t="s">
        <v>249</v>
      </c>
      <c r="B232">
        <v>3</v>
      </c>
      <c r="C232">
        <v>71293</v>
      </c>
      <c r="D232">
        <v>456</v>
      </c>
      <c r="E232">
        <v>139</v>
      </c>
      <c r="F232">
        <v>13</v>
      </c>
      <c r="G232" t="s">
        <v>25</v>
      </c>
      <c r="H232" t="str">
        <f t="shared" si="3"/>
        <v>NORMAL ENERGY</v>
      </c>
    </row>
    <row r="233" spans="1:8" x14ac:dyDescent="0.3">
      <c r="A233" t="s">
        <v>250</v>
      </c>
      <c r="B233">
        <v>1</v>
      </c>
      <c r="C233">
        <v>98781</v>
      </c>
      <c r="D233">
        <v>140</v>
      </c>
      <c r="E233">
        <v>191</v>
      </c>
      <c r="F233">
        <v>14</v>
      </c>
      <c r="G233" t="s">
        <v>56</v>
      </c>
      <c r="H233" t="str">
        <f t="shared" si="3"/>
        <v>NORMAL ENERGY</v>
      </c>
    </row>
    <row r="234" spans="1:8" x14ac:dyDescent="0.3">
      <c r="A234" t="s">
        <v>251</v>
      </c>
      <c r="B234">
        <v>6</v>
      </c>
      <c r="C234">
        <v>80403</v>
      </c>
      <c r="D234">
        <v>327</v>
      </c>
      <c r="E234">
        <v>113</v>
      </c>
      <c r="F234">
        <v>9</v>
      </c>
      <c r="G234" t="s">
        <v>17</v>
      </c>
      <c r="H234" t="str">
        <f t="shared" si="3"/>
        <v>NORMAL ENERGY</v>
      </c>
    </row>
    <row r="235" spans="1:8" x14ac:dyDescent="0.3">
      <c r="A235" t="s">
        <v>252</v>
      </c>
      <c r="B235">
        <v>5</v>
      </c>
      <c r="C235">
        <v>49124</v>
      </c>
      <c r="D235">
        <v>291</v>
      </c>
      <c r="E235">
        <v>87</v>
      </c>
      <c r="F235">
        <v>2</v>
      </c>
      <c r="G235" t="s">
        <v>27</v>
      </c>
      <c r="H235" t="str">
        <f t="shared" si="3"/>
        <v>NORMAL ENERGY</v>
      </c>
    </row>
    <row r="236" spans="1:8" x14ac:dyDescent="0.3">
      <c r="A236" t="s">
        <v>253</v>
      </c>
      <c r="B236">
        <v>1</v>
      </c>
      <c r="C236">
        <v>63919</v>
      </c>
      <c r="D236">
        <v>244</v>
      </c>
      <c r="E236">
        <v>86</v>
      </c>
      <c r="F236">
        <v>8</v>
      </c>
      <c r="G236" t="s">
        <v>56</v>
      </c>
      <c r="H236" t="str">
        <f t="shared" si="3"/>
        <v>NORMAL ENERGY</v>
      </c>
    </row>
    <row r="237" spans="1:8" x14ac:dyDescent="0.3">
      <c r="A237" t="s">
        <v>254</v>
      </c>
      <c r="B237">
        <v>3</v>
      </c>
      <c r="C237">
        <v>55247</v>
      </c>
      <c r="D237">
        <v>300</v>
      </c>
      <c r="E237">
        <v>175</v>
      </c>
      <c r="F237">
        <v>2</v>
      </c>
      <c r="G237" t="s">
        <v>13</v>
      </c>
      <c r="H237" t="str">
        <f t="shared" si="3"/>
        <v>NORMAL ENERGY</v>
      </c>
    </row>
    <row r="238" spans="1:8" x14ac:dyDescent="0.3">
      <c r="A238" t="s">
        <v>255</v>
      </c>
      <c r="B238">
        <v>2</v>
      </c>
      <c r="C238">
        <v>82752</v>
      </c>
      <c r="D238">
        <v>311</v>
      </c>
      <c r="E238">
        <v>188</v>
      </c>
      <c r="F238">
        <v>14</v>
      </c>
      <c r="G238" t="s">
        <v>13</v>
      </c>
      <c r="H238" t="str">
        <f t="shared" si="3"/>
        <v>NORMAL ENERGY</v>
      </c>
    </row>
    <row r="239" spans="1:8" x14ac:dyDescent="0.3">
      <c r="A239" t="s">
        <v>256</v>
      </c>
      <c r="B239">
        <v>4</v>
      </c>
      <c r="C239">
        <v>76573</v>
      </c>
      <c r="D239">
        <v>319</v>
      </c>
      <c r="E239">
        <v>149</v>
      </c>
      <c r="F239">
        <v>8</v>
      </c>
      <c r="G239" t="s">
        <v>25</v>
      </c>
      <c r="H239" t="str">
        <f t="shared" si="3"/>
        <v>NORMAL ENERGY</v>
      </c>
    </row>
    <row r="240" spans="1:8" x14ac:dyDescent="0.3">
      <c r="A240" t="s">
        <v>257</v>
      </c>
      <c r="B240">
        <v>7</v>
      </c>
      <c r="C240">
        <v>79101</v>
      </c>
      <c r="D240">
        <v>339</v>
      </c>
      <c r="E240">
        <v>126</v>
      </c>
      <c r="F240">
        <v>4</v>
      </c>
      <c r="G240" t="s">
        <v>45</v>
      </c>
      <c r="H240" t="str">
        <f t="shared" si="3"/>
        <v>NORMAL ENERGY</v>
      </c>
    </row>
    <row r="241" spans="1:8" x14ac:dyDescent="0.3">
      <c r="A241" t="s">
        <v>258</v>
      </c>
      <c r="B241">
        <v>3</v>
      </c>
      <c r="C241">
        <v>46646</v>
      </c>
      <c r="D241">
        <v>496</v>
      </c>
      <c r="E241">
        <v>52</v>
      </c>
      <c r="F241">
        <v>12</v>
      </c>
      <c r="G241" t="s">
        <v>10</v>
      </c>
      <c r="H241" t="str">
        <f t="shared" si="3"/>
        <v>HIGH ENERGY</v>
      </c>
    </row>
    <row r="242" spans="1:8" x14ac:dyDescent="0.3">
      <c r="A242" t="s">
        <v>259</v>
      </c>
      <c r="B242">
        <v>6</v>
      </c>
      <c r="C242">
        <v>43049</v>
      </c>
      <c r="D242">
        <v>145</v>
      </c>
      <c r="E242">
        <v>183</v>
      </c>
      <c r="F242">
        <v>9</v>
      </c>
      <c r="G242" t="s">
        <v>45</v>
      </c>
      <c r="H242" t="str">
        <f t="shared" si="3"/>
        <v>NORMAL ENERGY</v>
      </c>
    </row>
    <row r="243" spans="1:8" x14ac:dyDescent="0.3">
      <c r="A243" t="s">
        <v>260</v>
      </c>
      <c r="B243">
        <v>1</v>
      </c>
      <c r="C243">
        <v>99605</v>
      </c>
      <c r="D243">
        <v>134</v>
      </c>
      <c r="E243">
        <v>59</v>
      </c>
      <c r="F243">
        <v>4</v>
      </c>
      <c r="G243" t="s">
        <v>15</v>
      </c>
      <c r="H243" t="str">
        <f t="shared" si="3"/>
        <v>NORMAL ENERGY</v>
      </c>
    </row>
    <row r="244" spans="1:8" x14ac:dyDescent="0.3">
      <c r="A244" t="s">
        <v>261</v>
      </c>
      <c r="B244">
        <v>4</v>
      </c>
      <c r="C244">
        <v>88385</v>
      </c>
      <c r="D244">
        <v>352</v>
      </c>
      <c r="E244">
        <v>54</v>
      </c>
      <c r="F244">
        <v>14</v>
      </c>
      <c r="G244" t="s">
        <v>51</v>
      </c>
      <c r="H244" t="str">
        <f t="shared" si="3"/>
        <v>NORMAL ENERGY</v>
      </c>
    </row>
    <row r="245" spans="1:8" x14ac:dyDescent="0.3">
      <c r="A245" t="s">
        <v>262</v>
      </c>
      <c r="B245">
        <v>1</v>
      </c>
      <c r="C245">
        <v>60158</v>
      </c>
      <c r="D245">
        <v>489</v>
      </c>
      <c r="E245">
        <v>200</v>
      </c>
      <c r="F245">
        <v>2</v>
      </c>
      <c r="G245" t="s">
        <v>31</v>
      </c>
      <c r="H245" t="str">
        <f t="shared" si="3"/>
        <v>HIGH ENERGY</v>
      </c>
    </row>
    <row r="246" spans="1:8" x14ac:dyDescent="0.3">
      <c r="A246" t="s">
        <v>263</v>
      </c>
      <c r="B246">
        <v>6</v>
      </c>
      <c r="C246">
        <v>85417</v>
      </c>
      <c r="D246">
        <v>181</v>
      </c>
      <c r="E246">
        <v>187</v>
      </c>
      <c r="F246">
        <v>14</v>
      </c>
      <c r="G246" t="s">
        <v>45</v>
      </c>
      <c r="H246" t="str">
        <f t="shared" si="3"/>
        <v>NORMAL ENERGY</v>
      </c>
    </row>
    <row r="247" spans="1:8" x14ac:dyDescent="0.3">
      <c r="A247" t="s">
        <v>264</v>
      </c>
      <c r="B247">
        <v>1</v>
      </c>
      <c r="C247">
        <v>43289</v>
      </c>
      <c r="D247">
        <v>470</v>
      </c>
      <c r="E247">
        <v>179</v>
      </c>
      <c r="F247">
        <v>14</v>
      </c>
      <c r="G247" t="s">
        <v>31</v>
      </c>
      <c r="H247" t="str">
        <f t="shared" si="3"/>
        <v>NORMAL ENERGY</v>
      </c>
    </row>
    <row r="248" spans="1:8" x14ac:dyDescent="0.3">
      <c r="A248" t="s">
        <v>265</v>
      </c>
      <c r="B248">
        <v>2</v>
      </c>
      <c r="C248">
        <v>29823</v>
      </c>
      <c r="D248">
        <v>355</v>
      </c>
      <c r="E248">
        <v>62</v>
      </c>
      <c r="F248">
        <v>9</v>
      </c>
      <c r="G248" t="s">
        <v>31</v>
      </c>
      <c r="H248" t="str">
        <f t="shared" si="3"/>
        <v>NORMAL ENERGY</v>
      </c>
    </row>
    <row r="249" spans="1:8" x14ac:dyDescent="0.3">
      <c r="A249" t="s">
        <v>266</v>
      </c>
      <c r="B249">
        <v>4</v>
      </c>
      <c r="C249">
        <v>80160</v>
      </c>
      <c r="D249">
        <v>296</v>
      </c>
      <c r="E249">
        <v>179</v>
      </c>
      <c r="F249">
        <v>4</v>
      </c>
      <c r="G249" t="s">
        <v>27</v>
      </c>
      <c r="H249" t="str">
        <f t="shared" si="3"/>
        <v>NORMAL ENERGY</v>
      </c>
    </row>
    <row r="250" spans="1:8" x14ac:dyDescent="0.3">
      <c r="A250" t="s">
        <v>267</v>
      </c>
      <c r="B250">
        <v>4</v>
      </c>
      <c r="C250">
        <v>61975</v>
      </c>
      <c r="D250">
        <v>402</v>
      </c>
      <c r="E250">
        <v>133</v>
      </c>
      <c r="F250">
        <v>3</v>
      </c>
      <c r="G250" t="s">
        <v>17</v>
      </c>
      <c r="H250" t="str">
        <f t="shared" si="3"/>
        <v>NORMAL ENERGY</v>
      </c>
    </row>
    <row r="251" spans="1:8" x14ac:dyDescent="0.3">
      <c r="A251" t="s">
        <v>268</v>
      </c>
      <c r="B251">
        <v>6</v>
      </c>
      <c r="C251">
        <v>29540</v>
      </c>
      <c r="D251">
        <v>109</v>
      </c>
      <c r="E251">
        <v>114</v>
      </c>
      <c r="F251">
        <v>2</v>
      </c>
      <c r="G251" t="s">
        <v>27</v>
      </c>
      <c r="H251" t="str">
        <f t="shared" si="3"/>
        <v>NORMAL ENERGY</v>
      </c>
    </row>
  </sheetData>
  <mergeCells count="1">
    <mergeCell ref="M10:N10"/>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85CA-7AE9-4443-B799-FE69046536E2}">
  <dimension ref="A1"/>
  <sheetViews>
    <sheetView showGridLines="0" tabSelected="1" workbookViewId="0">
      <selection activeCell="V17" sqref="V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ramana nadimindla</dc:creator>
  <cp:lastModifiedBy>ramana nadimindla</cp:lastModifiedBy>
  <dcterms:created xsi:type="dcterms:W3CDTF">2015-06-05T18:17:20Z</dcterms:created>
  <dcterms:modified xsi:type="dcterms:W3CDTF">2026-09-19T17:36:15Z</dcterms:modified>
</cp:coreProperties>
</file>